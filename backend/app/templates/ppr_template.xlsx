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inpeco-my.sharepoint.com/personal/luca_contini_inpeco_com/Documents/Projects/ProTube System Project/PTBSYS-03-003 - October/Reviews and Technical Documentation/"/>
    </mc:Choice>
  </mc:AlternateContent>
  <xr:revisionPtr revIDLastSave="0" documentId="8_{C4DBDA00-54D5-4197-95F8-1F68BD4FE087}" xr6:coauthVersionLast="47" xr6:coauthVersionMax="47" xr10:uidLastSave="{00000000-0000-0000-0000-000000000000}"/>
  <bookViews>
    <workbookView xWindow="-120" yWindow="-120" windowWidth="29040" windowHeight="15720" tabRatio="779" activeTab="7" xr2:uid="{00000000-000D-0000-FFFF-FFFF00000000}"/>
  </bookViews>
  <sheets>
    <sheet name="Task Guideline" sheetId="22" r:id="rId1"/>
    <sheet name="Kick-off Review" sheetId="11" state="hidden" r:id="rId2"/>
    <sheet name="Attachment A - Tickets" sheetId="6" state="hidden" r:id="rId3"/>
    <sheet name="Cover" sheetId="1" r:id="rId4"/>
    <sheet name="Planning Review" sheetId="9" r:id="rId5"/>
    <sheet name="Pre-Serie Launch Review" sheetId="21" r:id="rId6"/>
    <sheet name="Execution Review" sheetId="3" r:id="rId7"/>
    <sheet name="Deployment Review" sheetId="4" r:id="rId8"/>
    <sheet name="Release to Market Review" sheetId="24" r:id="rId9"/>
    <sheet name="Action Items" sheetId="23" r:id="rId10"/>
    <sheet name="Input for Excel" sheetId="8" state="hidden" r:id="rId11"/>
  </sheets>
  <definedNames>
    <definedName name="_xlnm._FilterDatabase" localSheetId="0" hidden="1">'Task Guideline'!$A$1:$I$109</definedName>
    <definedName name="_xlnm.Print_Area" localSheetId="7">'Deployment Review'!$A$1:$J$55</definedName>
    <definedName name="_xlnm.Print_Area" localSheetId="4">'Planning Review'!$A$1:$J$86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1" i="22" l="1"/>
  <c r="C117" i="22"/>
  <c r="C112" i="22"/>
  <c r="C105" i="22"/>
  <c r="C110" i="22"/>
  <c r="C108" i="22"/>
  <c r="C98" i="22"/>
  <c r="C67" i="22"/>
  <c r="C40" i="22"/>
  <c r="C41" i="22"/>
  <c r="C122" i="22" l="1"/>
  <c r="C111" i="22"/>
  <c r="C65" i="22"/>
  <c r="C90" i="22"/>
  <c r="C88" i="22"/>
  <c r="C89" i="22"/>
  <c r="C116" i="22"/>
  <c r="C94" i="22"/>
  <c r="C93" i="22"/>
  <c r="C115" i="22"/>
  <c r="C78" i="22"/>
  <c r="C63" i="22"/>
  <c r="C53" i="22"/>
  <c r="C51" i="22"/>
  <c r="C60" i="22"/>
  <c r="C118" i="22"/>
  <c r="C114" i="22"/>
  <c r="C113" i="22"/>
  <c r="C120" i="22"/>
  <c r="C119" i="22"/>
  <c r="C45" i="22"/>
  <c r="C80" i="22"/>
  <c r="C21" i="22"/>
  <c r="C5" i="22"/>
  <c r="C95" i="22"/>
  <c r="C77" i="22"/>
  <c r="C64" i="22"/>
  <c r="C107" i="22"/>
  <c r="C106" i="22"/>
  <c r="C54" i="22"/>
  <c r="C58" i="22"/>
  <c r="C61" i="22"/>
  <c r="C59" i="22"/>
  <c r="C57" i="22"/>
  <c r="C55" i="22"/>
  <c r="C56" i="22"/>
  <c r="C52" i="22"/>
  <c r="C48" i="22"/>
  <c r="C50" i="22"/>
  <c r="C49" i="22"/>
  <c r="C37" i="22"/>
  <c r="C38" i="22"/>
  <c r="C76" i="22"/>
  <c r="C75" i="22"/>
  <c r="C66" i="22"/>
  <c r="C23" i="22"/>
  <c r="C43" i="22"/>
  <c r="C42" i="22"/>
  <c r="C33" i="22"/>
  <c r="C32" i="22"/>
  <c r="C26" i="22"/>
  <c r="C19" i="22"/>
  <c r="C20" i="22"/>
  <c r="C17" i="22"/>
  <c r="C16" i="22"/>
  <c r="C15" i="22"/>
  <c r="C12" i="22"/>
  <c r="C10" i="22"/>
  <c r="C9" i="22"/>
  <c r="C8" i="22"/>
  <c r="C7" i="22"/>
  <c r="C44" i="22"/>
  <c r="C46" i="22"/>
  <c r="C2" i="22"/>
  <c r="C36" i="22"/>
  <c r="C3" i="22"/>
  <c r="C4" i="22"/>
  <c r="C6" i="22"/>
  <c r="C11" i="22"/>
  <c r="C13" i="22"/>
  <c r="C14" i="22"/>
  <c r="C18" i="22"/>
  <c r="C22" i="22"/>
  <c r="C24" i="22"/>
  <c r="C25" i="22"/>
  <c r="C27" i="22"/>
  <c r="C28" i="22"/>
  <c r="C29" i="22"/>
  <c r="C30" i="22"/>
  <c r="C31" i="22"/>
  <c r="C34" i="22"/>
  <c r="C35" i="22"/>
  <c r="C39" i="22"/>
  <c r="C47" i="22"/>
  <c r="C62" i="22"/>
  <c r="C68" i="22"/>
  <c r="C69" i="22"/>
  <c r="C70" i="22"/>
  <c r="C71" i="22"/>
  <c r="C72" i="22"/>
  <c r="C73" i="22"/>
  <c r="C74" i="22"/>
  <c r="C79" i="22"/>
  <c r="C81" i="22"/>
  <c r="C82" i="22"/>
  <c r="C83" i="22"/>
  <c r="C84" i="22"/>
  <c r="C85" i="22"/>
  <c r="C86" i="22"/>
  <c r="C87" i="22"/>
  <c r="C91" i="22"/>
  <c r="C92" i="22"/>
  <c r="C96" i="22"/>
  <c r="C97" i="22"/>
  <c r="C99" i="22"/>
  <c r="C100" i="22"/>
  <c r="C101" i="22"/>
  <c r="C102" i="22"/>
  <c r="C103" i="22"/>
  <c r="C104" i="22"/>
  <c r="C109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tc={8DD7DFA0-5953-4E20-A4EA-4315D40D0690}</author>
    <author>tc={9B3E1865-2272-41E4-A5F3-FE6972DF0569}</author>
    <author>tc={FB8351EC-3D42-4A22-8CA6-75D43EC7C732}</author>
    <author>tc={F302CAE2-7753-4C1E-8D66-106081123784}</author>
    <author>tc={01BC8B5A-F3BF-457B-A825-6047AA108E0E}</author>
    <author>tc={E3438FD1-52F0-40DE-AE75-46F58B744A67}</author>
    <author>tc={ABB2E6C3-D799-41BD-9C2C-4BE6127DB91B}</author>
  </authors>
  <commentList>
    <comment ref="A5" authorId="0" shapeId="0" xr:uid="{8DD7DFA0-5953-4E20-A4EA-4315D40D0690}">
      <text>
        <t>[Threaded comment]
Your version of Excel allows you to read this threaded comment; however, any edits to it will get removed if the file is opened in a newer version of Excel. Learn more: https://go.microsoft.com/fwlink/?linkid=870924
Comment:
    Necessario coinvolgere anche Produzione e Supplier Quality
Reply:
    Possiamo evitare il PPTX almeno per il team e le informazioni che vanno qui per forza?</t>
      </text>
    </comment>
    <comment ref="A15" authorId="1" shapeId="0" xr:uid="{9B3E1865-2272-41E4-A5F3-FE6972DF0569}">
      <text>
        <t>[Threaded comment]
Your version of Excel allows you to read this threaded comment; however, any edits to it will get removed if the file is opened in a newer version of Excel. Learn more: https://go.microsoft.com/fwlink/?linkid=870924
Comment:
    Da tenere?</t>
      </text>
    </comment>
    <comment ref="A26" authorId="2" shapeId="0" xr:uid="{FB8351EC-3D42-4A22-8CA6-75D43EC7C732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Secondo me è importante riportare qui e non nel power point l’informazione essendo che questa sarà la review approvata</t>
      </text>
    </comment>
    <comment ref="A29" authorId="3" shapeId="0" xr:uid="{F302CAE2-7753-4C1E-8D66-106081123784}">
      <text>
        <t>[Threaded comment]
Your version of Excel allows you to read this threaded comment; however, any edits to it will get removed if the file is opened in a newer version of Excel. Learn more: https://go.microsoft.com/fwlink/?linkid=870924
Comment:
    Vogliamo lasciare citati I nomi dei template?</t>
      </text>
    </comment>
    <comment ref="A31" authorId="4" shapeId="0" xr:uid="{01BC8B5A-F3BF-457B-A825-6047AA108E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Propongo di spostarla qui invece che avere un foglio dedicato o no?
Reply:
    Nel caso reintrodurre le righe di prima</t>
      </text>
    </comment>
    <comment ref="A50" authorId="5" shapeId="0" xr:uid="{E3438FD1-52F0-40DE-AE75-46F58B744A67}">
      <text>
        <t>[Threaded comment]
Your version of Excel allows you to read this threaded comment; however, any edits to it will get removed if the file is opened in a newer version of Excel. Learn more: https://go.microsoft.com/fwlink/?linkid=870924
Comment:
    Cosa ne pensate? Alla fine serve anche per capire potenziale budget necessario</t>
      </text>
    </comment>
    <comment ref="A55" authorId="6" shapeId="0" xr:uid="{ABB2E6C3-D799-41BD-9C2C-4BE6127DB91B}">
      <text>
        <t>[Threaded comment]
Your version of Excel allows you to read this threaded comment; however, any edits to it will get removed if the file is opened in a newer version of Excel. Learn more: https://go.microsoft.com/fwlink/?linkid=870924
Comment:
    Secondo me qui è importante riportare l’informazione essendo che questa sarà la review approvata</t>
      </text>
    </comment>
  </commentList>
</comments>
</file>

<file path=xl/sharedStrings.xml><?xml version="1.0" encoding="utf-8"?>
<sst xmlns="http://schemas.openxmlformats.org/spreadsheetml/2006/main" count="1352" uniqueCount="574">
  <si>
    <t>Phase</t>
  </si>
  <si>
    <t>OWNER</t>
  </si>
  <si>
    <t>INVOLVED DEPARTMENT</t>
  </si>
  <si>
    <t>PRODUCT MANAGER</t>
  </si>
  <si>
    <t>Project Manager</t>
  </si>
  <si>
    <t>To be evaluated</t>
  </si>
  <si>
    <t>Commercial areas (Direct, Distributor, IVD Vendor)</t>
  </si>
  <si>
    <t>Project Manager
Product Manager</t>
  </si>
  <si>
    <t>Commercial areas (Direct, Distributor, IVD Vendor)
Project Manager</t>
  </si>
  <si>
    <t>PROJECT MANAGER</t>
  </si>
  <si>
    <t>Product Manager</t>
  </si>
  <si>
    <t>n.a.</t>
  </si>
  <si>
    <t>N/A</t>
  </si>
  <si>
    <t>Regulatory Affairs</t>
  </si>
  <si>
    <t>Procurement</t>
  </si>
  <si>
    <t>Project Manager
Finance
Legal</t>
  </si>
  <si>
    <t>REGULATORY AFFAIRS</t>
  </si>
  <si>
    <t>Product Manager
Project Manager
Regulatory Affairs</t>
  </si>
  <si>
    <t>PROCUREMENT</t>
  </si>
  <si>
    <t>Project Manager
Hardware
Software
Testing
Legal</t>
  </si>
  <si>
    <t>Project Manager
Manufacturing
Customer Success</t>
  </si>
  <si>
    <t>PRODUCT CERTIFICATION</t>
  </si>
  <si>
    <t>Manufacturing</t>
  </si>
  <si>
    <t>Controlling
Product Manager</t>
  </si>
  <si>
    <t>Provide document code and version</t>
  </si>
  <si>
    <t>Manufacturing
Customer Success</t>
  </si>
  <si>
    <t>Project Manager
Product Manager
Customer Success</t>
  </si>
  <si>
    <t>Project Manager
Commercial areas (Direct, Distributor, IVD Vendor)
Product Manager
Customer Success</t>
  </si>
  <si>
    <t>Project Manager
Manufacturing</t>
  </si>
  <si>
    <t>MANUFACTURING</t>
  </si>
  <si>
    <t>PROCUREMENT
MANUFACTURING</t>
  </si>
  <si>
    <t>Certification Body (External)</t>
  </si>
  <si>
    <t>CONTROLLING</t>
  </si>
  <si>
    <t>Project Manager
Distributor</t>
  </si>
  <si>
    <t>CUSTOMER SUCCESS</t>
  </si>
  <si>
    <t>Provide documents codes and versions for applicable technical files (e.g. Reach/Rohs)</t>
  </si>
  <si>
    <t>Project Manager
Customer Success
Product Manager</t>
  </si>
  <si>
    <t>Commercial areas (Direct, Distributor, IVD Vendor)
Marketing
Project Manager
Regulatory Affairs</t>
  </si>
  <si>
    <t>Product Manager
Project Manager
Regulatory Affairs
Medical Affairs</t>
  </si>
  <si>
    <t>Product Manager
Medical Affairs</t>
  </si>
  <si>
    <t>Product Manager
Customer Success
Medical Affairs</t>
  </si>
  <si>
    <t>Task ID</t>
  </si>
  <si>
    <t>TASK Activity</t>
  </si>
  <si>
    <t>OUTPUT &amp; 
COMPLETION CRITERIA</t>
  </si>
  <si>
    <t>MATURITY LEVEL
1. Idea / Proof of Concept
2. Prototype / Demo
3. Product (System)</t>
  </si>
  <si>
    <t xml:space="preserve">TARGET CUSTOMER:
1. Inpeco Internal Customer 
2. External Specific Customer 
3. External </t>
  </si>
  <si>
    <t>PRODUCT TYPE
Is the task specific for IVD's only?
(Yes/No)</t>
  </si>
  <si>
    <t>PRODUCT/PROJECT MANAGER</t>
  </si>
  <si>
    <t>Product/Project Manager</t>
  </si>
  <si>
    <t>1 - 'Definition of the Project - Code for Controlling
2 - Opening the project on JIRA
3 - Opening the project on DHF sharepoint 
4 - Opening the project on project management software</t>
  </si>
  <si>
    <t>1. Idea / Proof of Concept
2. Prototype / Demo
3. Product (System)</t>
  </si>
  <si>
    <t xml:space="preserve">1. Inpeco Internal Customer 
2. External Specific Customer 
3. External </t>
  </si>
  <si>
    <t>No</t>
  </si>
  <si>
    <t>Project Manager
Product Compliance</t>
  </si>
  <si>
    <t>Project Manager
Regulatory Affairs
Product Compliance
Quality Assurance</t>
  </si>
  <si>
    <t>Project Manager
Regulatory Affairs</t>
  </si>
  <si>
    <t>Hardware
Software
Procurement
Production Quality
Manufacturing</t>
  </si>
  <si>
    <t>3. Product (System)</t>
  </si>
  <si>
    <t>3. External</t>
  </si>
  <si>
    <t>Legal</t>
  </si>
  <si>
    <t>Development Team
Product Compliance
Product Certification</t>
  </si>
  <si>
    <t>Production Quality</t>
  </si>
  <si>
    <t>Product Quality</t>
  </si>
  <si>
    <t>1 - Tender issued, external consultant identified. Mail exchanges and/or meeting partecipation. NDA signed (MOD-NDA)</t>
  </si>
  <si>
    <t>1 - NDA and Development Agreement signed by both parties (MOD-NDA and MOD-DEA)</t>
  </si>
  <si>
    <t>Project Manager
Product Certification
Product Compliance
Product Manager</t>
  </si>
  <si>
    <t>1 - Creation/Update of Product Qualification and Classification (MOD-IVDPQC) signed</t>
  </si>
  <si>
    <t>2. Prototype / Demo
3. Product (System)</t>
  </si>
  <si>
    <t xml:space="preserve">2. External Specific Customer 
3. External </t>
  </si>
  <si>
    <t>Project Manager
Product Development Manager
Product Compliance</t>
  </si>
  <si>
    <r>
      <t>1 - '</t>
    </r>
    <r>
      <rPr>
        <sz val="10"/>
        <rFont val="Montserrat"/>
      </rPr>
      <t>Software Safety Classifications* (M</t>
    </r>
    <r>
      <rPr>
        <sz val="10"/>
        <color theme="1"/>
        <rFont val="Montserrat"/>
      </rPr>
      <t xml:space="preserve">OD-SWC) created or updated in draft, if involved software is classified as medical according IEC 62304
</t>
    </r>
    <r>
      <rPr>
        <sz val="8"/>
        <color theme="1"/>
        <rFont val="Montserrat"/>
      </rPr>
      <t>*Deliverable complying, among others, also with standard IEC 62304</t>
    </r>
  </si>
  <si>
    <t>Yes</t>
  </si>
  <si>
    <t>PRODUCT COMPLIANCE</t>
  </si>
  <si>
    <t>1 - Creation/Update of Performance Evaluation Plan (MOD-PEP) signed</t>
  </si>
  <si>
    <r>
      <t xml:space="preserve">Commercial areas (Direct, Distributor, IVD Vendor)
Product Manager
Customer Success
Project Manager
</t>
    </r>
    <r>
      <rPr>
        <sz val="10"/>
        <rFont val="Montserrat"/>
      </rPr>
      <t>Product Compliance</t>
    </r>
  </si>
  <si>
    <r>
      <t>1 - User Stories, relevant Acceptance Criteria, link to the appropriate issue type (User Need and/or Risk) created and reported</t>
    </r>
    <r>
      <rPr>
        <sz val="10"/>
        <rFont val="Montserrat"/>
      </rPr>
      <t xml:space="preserve"> on JIRA, included System items.</t>
    </r>
  </si>
  <si>
    <r>
      <t>1 - Team meeting. User Stories, relevant Acceptance Criteria, link to the appropriate issue type (User Need and/or Risk) created and reported</t>
    </r>
    <r>
      <rPr>
        <sz val="10"/>
        <rFont val="Montserrat"/>
      </rPr>
      <t xml:space="preserve"> on JIRA, included System items. </t>
    </r>
  </si>
  <si>
    <t>1 - "Essential Requirement Checklist" (MOD-RESS) signed</t>
  </si>
  <si>
    <t>1 - 'Design Input* with User Stories (MOD-JDI) digitally signed
*Deliverable complying, among others, also with standard IEC 62304</t>
  </si>
  <si>
    <r>
      <rPr>
        <sz val="10"/>
        <rFont val="Montserrat"/>
      </rPr>
      <t xml:space="preserve">1. Inpeco Internal Customer </t>
    </r>
    <r>
      <rPr>
        <sz val="10"/>
        <color theme="1"/>
        <rFont val="Montserrat"/>
      </rPr>
      <t xml:space="preserve">
2. External Specific Customer 
3. External </t>
    </r>
  </si>
  <si>
    <t>Team meeting. Safety FMEA with Risks and link to the appropriate issue type (User Need, Mitigation Method, User Stories) created and reported on JIRA, included System items.
Creation / update of following documentation:
1 - 'Risk Management Plan'* (MOD-RMP1)  signed
2 - 'Safety FMEA'* (MOD-FMEA1) signed
4 - 'Safety Risk Analysis'* (MOD-JRA1) signed
3 - 'Security Risk Analysis'* (MOD-JRA1) signed
5 - 'Product Lifecycle Risk Analysis'* (MOD-PLRA) signed
6 - 'Production process Risk Analysis'* (MOD-RAPP) signed
*Deliverable complying, among others, also with standard IEC 62304</t>
  </si>
  <si>
    <t>1 - 'Product Description (MOD-PD) signed</t>
  </si>
  <si>
    <t>1 - "Change Impact Assessment" (MOD-CIA) signed</t>
  </si>
  <si>
    <r>
      <t>Manufacturing</t>
    </r>
    <r>
      <rPr>
        <b/>
        <sz val="10"/>
        <rFont val="Montserrat"/>
      </rPr>
      <t xml:space="preserve">
</t>
    </r>
    <r>
      <rPr>
        <sz val="10"/>
        <rFont val="Montserrat"/>
      </rPr>
      <t>Production Quality</t>
    </r>
  </si>
  <si>
    <t>Product Manager
Development Team
Product Compliance
Product Certification
Regulatory Affairs
Manufacturing
Procurement
Production Quality
Product Quality
Customer Success
Other needed stakeholders</t>
  </si>
  <si>
    <t>2. EXECUTION</t>
  </si>
  <si>
    <t>1 - Stories are at least in "READY" status</t>
  </si>
  <si>
    <t>1 - 'BOM in "PROTOTYPE" status on EPDM
2 - BOM related to Upgrade/Retrofit Kit in "PROTOTYPE" status on EPDM</t>
  </si>
  <si>
    <t>Project Manager
Procurement</t>
  </si>
  <si>
    <t>1 - 'Physical device assembly completion
2 - 'BOM in "APPROVED FOR HW TEST" status on EPDM
3 - FORM-HWUT  completed and provided to Manufacturing</t>
  </si>
  <si>
    <t>1 - 'BOM in "APPROVED FOR PRESERIE" status in EPDM</t>
  </si>
  <si>
    <t>1 - 'Input/Output Mapping (MOD-IOM) digitally signed</t>
  </si>
  <si>
    <t>1 - TEAR DOWN activities</t>
  </si>
  <si>
    <t>1 - 'Physical device assembly completion</t>
  </si>
  <si>
    <r>
      <rPr>
        <sz val="10"/>
        <color rgb="FFFF0000"/>
        <rFont val="Montserrat"/>
      </rPr>
      <t xml:space="preserve">1. Inpeco Internal Customer </t>
    </r>
    <r>
      <rPr>
        <sz val="10"/>
        <color theme="1"/>
        <rFont val="Montserrat"/>
      </rPr>
      <t xml:space="preserve">
2. External Specific Customer 
3. External </t>
    </r>
  </si>
  <si>
    <t>Project Manager
Product Compliance
Documentation</t>
  </si>
  <si>
    <t>1 - Production Instructions in draft</t>
  </si>
  <si>
    <t>3. DEPLOYMENT</t>
  </si>
  <si>
    <t>This document has been reviewed and approved for release by the persons below. Approval by signature as indicated.</t>
  </si>
  <si>
    <t>Project Team Function</t>
  </si>
  <si>
    <t>Name</t>
  </si>
  <si>
    <t>Signature and Date</t>
  </si>
  <si>
    <t>Product Compliance Engineer</t>
  </si>
  <si>
    <r>
      <t xml:space="preserve">Independent Reviewer - </t>
    </r>
    <r>
      <rPr>
        <sz val="9"/>
        <color rgb="FFEA8651"/>
        <rFont val="Montserrat"/>
      </rPr>
      <t>add the job title</t>
    </r>
  </si>
  <si>
    <t>Production Quality Manager (only for Pre-Serie Launch Review)</t>
  </si>
  <si>
    <t>Medical Affairs 
(only for Deployment Review, based on acceptance criteria)</t>
  </si>
  <si>
    <t>AUTHOR &amp; REVISION HISTORY</t>
  </si>
  <si>
    <t>Version</t>
  </si>
  <si>
    <t>Author</t>
  </si>
  <si>
    <t>Change Description</t>
  </si>
  <si>
    <t>Describe reason of change. Differentiate changes if there is more the one reason.</t>
  </si>
  <si>
    <t xml:space="preserve">Kick-off Review Meeting </t>
  </si>
  <si>
    <t xml:space="preserve">Date </t>
  </si>
  <si>
    <t>YYYY/MM/DD</t>
  </si>
  <si>
    <t>Meeting Attendees and Roles</t>
  </si>
  <si>
    <t>Name &amp; Surname</t>
  </si>
  <si>
    <t>Company Roles</t>
  </si>
  <si>
    <t>In case Kick-off is performed by means of a powerpoint, report "Refer to "powerpoint title".pptx"</t>
  </si>
  <si>
    <t>Report the name and surname of the Independent Reviewer. (Contact the Head of Lifecycle unit or  Q&amp;R for the independent reviewer person)</t>
  </si>
  <si>
    <r>
      <rPr>
        <sz val="11"/>
        <color rgb="FFEA8651"/>
        <rFont val="Montserrat"/>
      </rPr>
      <t>Company Role</t>
    </r>
    <r>
      <rPr>
        <sz val="11"/>
        <color theme="1"/>
        <rFont val="Montserrat"/>
      </rPr>
      <t xml:space="preserve"> - Independent Reviewer</t>
    </r>
  </si>
  <si>
    <t>Project Classification</t>
  </si>
  <si>
    <t>Project Category</t>
  </si>
  <si>
    <t>Maturity Level</t>
  </si>
  <si>
    <t>Target Customer</t>
  </si>
  <si>
    <t>Competence Area</t>
  </si>
  <si>
    <t>Increment #</t>
  </si>
  <si>
    <t>Project Team Members</t>
  </si>
  <si>
    <t>SW Engineer</t>
  </si>
  <si>
    <t>MCSW Engineer</t>
  </si>
  <si>
    <t>HW Engineer</t>
  </si>
  <si>
    <t>Compliance Specialist</t>
  </si>
  <si>
    <t>Tester</t>
  </si>
  <si>
    <t>….</t>
  </si>
  <si>
    <t>Project Scope &amp; Intended use</t>
  </si>
  <si>
    <t>Report here the Project Scope and the defined Intended use</t>
  </si>
  <si>
    <t>Deliverable Check</t>
  </si>
  <si>
    <t>File</t>
  </si>
  <si>
    <r>
      <rPr>
        <b/>
        <sz val="10"/>
        <color theme="1"/>
        <rFont val="Montserrat"/>
      </rPr>
      <t xml:space="preserve">Design Input - User Needs </t>
    </r>
    <r>
      <rPr>
        <sz val="10"/>
        <color theme="1"/>
        <rFont val="Montserrat"/>
      </rPr>
      <t xml:space="preserve">
[Document </t>
    </r>
    <r>
      <rPr>
        <strike/>
        <sz val="10"/>
        <color rgb="FFFF0000"/>
        <rFont val="Montserrat"/>
      </rPr>
      <t xml:space="preserve">(based on MOD-JUN) </t>
    </r>
    <r>
      <rPr>
        <sz val="10"/>
        <color theme="1"/>
        <rFont val="Montserrat"/>
      </rPr>
      <t>digitally signed]</t>
    </r>
  </si>
  <si>
    <t>Provide document code and version (eg. FL-UN.1)</t>
  </si>
  <si>
    <r>
      <t xml:space="preserve">Ticket Description
</t>
    </r>
    <r>
      <rPr>
        <sz val="11"/>
        <color theme="0"/>
        <rFont val="Montserrat"/>
      </rPr>
      <t>(Tickets may belong to Service Tickets, Field/Internal/Third-Parties Enhancements, Internal Issues, Manufacturing Tickets)</t>
    </r>
  </si>
  <si>
    <t>Reference ID</t>
  </si>
  <si>
    <t>Input List</t>
  </si>
  <si>
    <t>Description</t>
  </si>
  <si>
    <t xml:space="preserve">Input Owner </t>
  </si>
  <si>
    <t>Notes/Updates</t>
  </si>
  <si>
    <t>add more rows if needed</t>
  </si>
  <si>
    <t>Product Description</t>
  </si>
  <si>
    <t>Expected Product Performances</t>
  </si>
  <si>
    <t>LAS Interface</t>
  </si>
  <si>
    <t>HW Interface</t>
  </si>
  <si>
    <t>LAS Communication Protocol</t>
  </si>
  <si>
    <t>LIS Communication Protocol</t>
  </si>
  <si>
    <t>Product Constraints</t>
  </si>
  <si>
    <t>Sample Tubes</t>
  </si>
  <si>
    <t>Workflow Constraints</t>
  </si>
  <si>
    <t>Current Issues</t>
  </si>
  <si>
    <t>Application Constraints</t>
  </si>
  <si>
    <t>Business Expectations</t>
  </si>
  <si>
    <t>Product Delivery Date</t>
  </si>
  <si>
    <t>Volumes</t>
  </si>
  <si>
    <t>Target Cost</t>
  </si>
  <si>
    <t>Markets</t>
  </si>
  <si>
    <t>New/Update to available Language</t>
  </si>
  <si>
    <t>List here the new languages or the ones that needs to be updated</t>
  </si>
  <si>
    <t>Preliminary Project Budget</t>
  </si>
  <si>
    <t>Hours</t>
  </si>
  <si>
    <r>
      <rPr>
        <sz val="11"/>
        <rFont val="Montserrat"/>
      </rPr>
      <t xml:space="preserve">Total </t>
    </r>
    <r>
      <rPr>
        <sz val="11"/>
        <color rgb="FFFF0000"/>
        <rFont val="Montserrat"/>
      </rPr>
      <t>XX</t>
    </r>
    <r>
      <rPr>
        <sz val="11"/>
        <color theme="1"/>
        <rFont val="Montserrat"/>
      </rPr>
      <t xml:space="preserve"> Hours</t>
    </r>
  </si>
  <si>
    <r>
      <rPr>
        <sz val="11"/>
        <rFont val="Montserrat"/>
      </rPr>
      <t xml:space="preserve">Total </t>
    </r>
    <r>
      <rPr>
        <sz val="11"/>
        <color rgb="FFEA8651"/>
        <rFont val="Montserrat"/>
      </rPr>
      <t>XX</t>
    </r>
    <r>
      <rPr>
        <sz val="11"/>
        <color theme="1"/>
        <rFont val="Montserrat"/>
      </rPr>
      <t xml:space="preserve"> Hours</t>
    </r>
  </si>
  <si>
    <t>Materials</t>
  </si>
  <si>
    <r>
      <rPr>
        <sz val="11"/>
        <color rgb="FFFF0000"/>
        <rFont val="Montserrat"/>
      </rPr>
      <t>XXXX</t>
    </r>
    <r>
      <rPr>
        <sz val="11"/>
        <color theme="1"/>
        <rFont val="Montserrat"/>
      </rPr>
      <t xml:space="preserve"> €</t>
    </r>
  </si>
  <si>
    <r>
      <rPr>
        <sz val="11"/>
        <color rgb="FFEA8651"/>
        <rFont val="Montserrat"/>
      </rPr>
      <t>XXXX</t>
    </r>
    <r>
      <rPr>
        <sz val="11"/>
        <color theme="1"/>
        <rFont val="Montserrat"/>
      </rPr>
      <t xml:space="preserve"> €</t>
    </r>
  </si>
  <si>
    <t>Meeting Minutes</t>
  </si>
  <si>
    <t>In case Kick-off is performed by means of a powerpoint, report "Refer to "powerpoint title".pptx"
For the Action Item refer to "Action Items" sheet.</t>
  </si>
  <si>
    <t>Pre-Serie foresees?</t>
  </si>
  <si>
    <t>YES/NO</t>
  </si>
  <si>
    <t>GO-NO GO Decision</t>
  </si>
  <si>
    <t xml:space="preserve">GO/NO-GO </t>
  </si>
  <si>
    <t>Project Approved (i.e. could we move to the Planning phase)?</t>
  </si>
  <si>
    <t>Tickets</t>
  </si>
  <si>
    <t>Report the name and surname of the Independent Reviewer. (Contact the Head of Lifecycle unit or Q&amp;R for the independent reviewer person)</t>
  </si>
  <si>
    <r>
      <rPr>
        <sz val="10"/>
        <color rgb="FFEA8651"/>
        <rFont val="Montserrat"/>
      </rPr>
      <t>Company Role</t>
    </r>
    <r>
      <rPr>
        <sz val="10"/>
        <color theme="1"/>
        <rFont val="Montserrat"/>
      </rPr>
      <t xml:space="preserve"> - Independent Reviewer</t>
    </r>
  </si>
  <si>
    <t>Product Type</t>
  </si>
  <si>
    <t>Product Line</t>
  </si>
  <si>
    <t>Project Scope &amp; Intended Use</t>
  </si>
  <si>
    <t>Markets &amp; Translation Needs</t>
  </si>
  <si>
    <t>Report here the expected Volumes for Product</t>
  </si>
  <si>
    <t>Report here the expected Target Cost for Product, including manufacturing, logistic, development and installation cost</t>
  </si>
  <si>
    <r>
      <t xml:space="preserve">Tickets Description
</t>
    </r>
    <r>
      <rPr>
        <sz val="9"/>
        <color theme="0"/>
        <rFont val="Montserrat"/>
      </rPr>
      <t>(considering: Service Tickets, Field Enhancements, Manufacturing Tickets (OPL and/or OBS), IVD Vendor/Distributor Enhancements, Internal Enhancements, Internal Issues)</t>
    </r>
  </si>
  <si>
    <t>Note</t>
  </si>
  <si>
    <r>
      <rPr>
        <b/>
        <sz val="10"/>
        <color theme="1"/>
        <rFont val="Montserrat"/>
      </rPr>
      <t xml:space="preserve">User Needs </t>
    </r>
    <r>
      <rPr>
        <sz val="10"/>
        <color theme="1"/>
        <rFont val="Montserrat"/>
      </rPr>
      <t xml:space="preserve">
[Document signed]</t>
    </r>
  </si>
  <si>
    <t>Report here any reason of not applicability or not updated</t>
  </si>
  <si>
    <r>
      <rPr>
        <b/>
        <sz val="10"/>
        <color theme="1"/>
        <rFont val="Montserrat"/>
      </rPr>
      <t>Product Qualification and Classification</t>
    </r>
    <r>
      <rPr>
        <sz val="10"/>
        <color theme="1"/>
        <rFont val="Montserrat"/>
      </rPr>
      <t xml:space="preserve">
[Document signed] </t>
    </r>
  </si>
  <si>
    <t>Provide document code and version (eg. TLA-IVDPQC.1)</t>
  </si>
  <si>
    <r>
      <rPr>
        <b/>
        <sz val="10"/>
        <color theme="1"/>
        <rFont val="Montserrat"/>
      </rPr>
      <t>Product Description</t>
    </r>
    <r>
      <rPr>
        <sz val="10"/>
        <color theme="1"/>
        <rFont val="Montserrat"/>
      </rPr>
      <t xml:space="preserve">
[Document signed] </t>
    </r>
  </si>
  <si>
    <t>Provide document code and version (eg. FL-PD.1)</t>
  </si>
  <si>
    <t>Provide CO number (e.g. CO2026-0001)</t>
  </si>
  <si>
    <r>
      <rPr>
        <b/>
        <sz val="10"/>
        <color theme="1"/>
        <rFont val="Montserrat"/>
      </rPr>
      <t>Change Impact Assessment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</si>
  <si>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>Performance Evaluation Plan</t>
    </r>
    <r>
      <rPr>
        <sz val="10"/>
        <color theme="1"/>
        <rFont val="Montserrat"/>
      </rPr>
      <t xml:space="preserve">
[Document signed]</t>
    </r>
  </si>
  <si>
    <t>Provide document code and version (e.g. FL-PEP.1)</t>
  </si>
  <si>
    <r>
      <rPr>
        <b/>
        <sz val="10"/>
        <color theme="1"/>
        <rFont val="Montserrat"/>
      </rPr>
      <t>Essential Requirement Checklist</t>
    </r>
    <r>
      <rPr>
        <sz val="10"/>
        <color theme="1"/>
        <rFont val="Montserrat"/>
      </rPr>
      <t xml:space="preserve">
[Document signed]</t>
    </r>
  </si>
  <si>
    <t>Provide document code and version (e.g. FL-RESS-XYZ.1)</t>
  </si>
  <si>
    <r>
      <rPr>
        <b/>
        <sz val="10"/>
        <color theme="1"/>
        <rFont val="Montserrat"/>
      </rPr>
      <t>Design Input</t>
    </r>
    <r>
      <rPr>
        <sz val="10"/>
        <color theme="1"/>
        <rFont val="Montserrat"/>
      </rPr>
      <t xml:space="preserve">
[Document signed]</t>
    </r>
  </si>
  <si>
    <t>Provide document code and version (e.g. FL-DI-XYZ.1)</t>
  </si>
  <si>
    <r>
      <rPr>
        <b/>
        <sz val="10"/>
        <color theme="1"/>
        <rFont val="Montserrat"/>
      </rPr>
      <t>Risk Management Plan</t>
    </r>
    <r>
      <rPr>
        <sz val="10"/>
        <color theme="1"/>
        <rFont val="Montserrat"/>
      </rPr>
      <t xml:space="preserve">
[Document signed]</t>
    </r>
  </si>
  <si>
    <t>Provide document code and version (e.g. FL-RMP.1)</t>
  </si>
  <si>
    <r>
      <rPr>
        <b/>
        <sz val="10"/>
        <color theme="1"/>
        <rFont val="Montserrat"/>
      </rPr>
      <t>Safety FMEA</t>
    </r>
    <r>
      <rPr>
        <sz val="10"/>
        <color theme="1"/>
        <rFont val="Montserrat"/>
      </rPr>
      <t xml:space="preserve">
[Document signed]</t>
    </r>
  </si>
  <si>
    <t>Provide document code and version (e.g. FL-FMEA-XYZ.1)</t>
  </si>
  <si>
    <r>
      <rPr>
        <b/>
        <sz val="10"/>
        <color theme="1"/>
        <rFont val="Montserrat"/>
      </rPr>
      <t>Safety Risk Analysis</t>
    </r>
    <r>
      <rPr>
        <sz val="10"/>
        <color theme="1"/>
        <rFont val="Montserrat"/>
      </rPr>
      <t xml:space="preserve">
[Document signed]</t>
    </r>
  </si>
  <si>
    <t>Provide document code and version (e.g. FL-RA-XYZ.1)</t>
  </si>
  <si>
    <r>
      <rPr>
        <b/>
        <sz val="10"/>
        <color theme="1"/>
        <rFont val="Montserrat"/>
      </rPr>
      <t>Security Risk Analysis</t>
    </r>
    <r>
      <rPr>
        <sz val="10"/>
        <color theme="1"/>
        <rFont val="Montserrat"/>
      </rPr>
      <t xml:space="preserve">
[Document signed]</t>
    </r>
  </si>
  <si>
    <t>Provide document code and version (e.g. SECRA-XYZ.1)</t>
  </si>
  <si>
    <r>
      <rPr>
        <b/>
        <sz val="10"/>
        <color theme="1"/>
        <rFont val="Montserrat"/>
      </rPr>
      <t>Product Lifecycle Risk Analysis</t>
    </r>
    <r>
      <rPr>
        <sz val="10"/>
        <color theme="1"/>
        <rFont val="Montserrat"/>
      </rPr>
      <t xml:space="preserve">
[Document signed]</t>
    </r>
  </si>
  <si>
    <t>Provide document code and version (e.g. PLRA.1)</t>
  </si>
  <si>
    <r>
      <rPr>
        <b/>
        <sz val="10"/>
        <color theme="1"/>
        <rFont val="Montserrat"/>
      </rPr>
      <t>Production Process Risk Analysis</t>
    </r>
    <r>
      <rPr>
        <sz val="10"/>
        <color theme="1"/>
        <rFont val="Montserrat"/>
      </rPr>
      <t xml:space="preserve">
[Document signed]</t>
    </r>
  </si>
  <si>
    <t>Provide document code and version (e.g. RAPP.1)</t>
  </si>
  <si>
    <r>
      <rPr>
        <b/>
        <sz val="10"/>
        <color theme="1"/>
        <rFont val="Montserrat"/>
      </rPr>
      <t>Criticality Matrix</t>
    </r>
    <r>
      <rPr>
        <sz val="10"/>
        <color theme="1"/>
        <rFont val="Montserrat"/>
      </rPr>
      <t xml:space="preserve">
[Document signed]</t>
    </r>
  </si>
  <si>
    <t>Provide document code and version (e.g. FL-HCM-XYZ.1)</t>
  </si>
  <si>
    <r>
      <rPr>
        <b/>
        <sz val="10"/>
        <color theme="1"/>
        <rFont val="Montserrat"/>
      </rPr>
      <t>Design FMEA</t>
    </r>
    <r>
      <rPr>
        <sz val="10"/>
        <color theme="1"/>
        <rFont val="Montserrat"/>
      </rPr>
      <t xml:space="preserve">
[Document signed]</t>
    </r>
  </si>
  <si>
    <t>Provide document code and version (e.g. FL-DFMEA-XYZ.1)</t>
  </si>
  <si>
    <t>Timeline</t>
  </si>
  <si>
    <t>Expected Execution Review</t>
  </si>
  <si>
    <t>Expected Deployment Review</t>
  </si>
  <si>
    <t>Expected Release to Market Review</t>
  </si>
  <si>
    <t>Budget</t>
  </si>
  <si>
    <t>Reference Document</t>
  </si>
  <si>
    <t>Provide document code and version (e.g. FL-BDG-XYZ)</t>
  </si>
  <si>
    <t>Man-Hours</t>
  </si>
  <si>
    <t>XXX Man-Hours     Remove in case of sharing with Third-Parties</t>
  </si>
  <si>
    <t>XXXX €</t>
  </si>
  <si>
    <t>Acceptance Criteria</t>
  </si>
  <si>
    <t>Are Design Input considered adequate?</t>
  </si>
  <si>
    <t>Are Project Constraints approved (i.e. Design Input-Scope-Plan-Cost. Could we move to the Execution phase)?</t>
  </si>
  <si>
    <t>Report here the meeting minutes of the conducted review.
For the Action Item, refer to "Action Items" sheet.
Any additional notes/comments.</t>
  </si>
  <si>
    <t>Project Approved (i.e. could we move to the Execution phase)?</t>
  </si>
  <si>
    <t>YES/NO
If YES report here Commercial Part Number definition</t>
  </si>
  <si>
    <t xml:space="preserve">Pre-Serie Launch Review Meeting </t>
  </si>
  <si>
    <r>
      <rPr>
        <sz val="11"/>
        <color rgb="FFEA8651"/>
        <rFont val="Montserrat"/>
      </rPr>
      <t xml:space="preserve">Company Role </t>
    </r>
    <r>
      <rPr>
        <sz val="11"/>
        <color theme="1"/>
        <rFont val="Montserrat"/>
      </rPr>
      <t>- Independent Reviewer</t>
    </r>
  </si>
  <si>
    <t>Provide BOM code and version</t>
  </si>
  <si>
    <r>
      <rPr>
        <b/>
        <sz val="10"/>
        <color theme="1"/>
        <rFont val="Montserrat"/>
      </rPr>
      <t xml:space="preserve">Input/Output Mapping </t>
    </r>
    <r>
      <rPr>
        <sz val="10"/>
        <color theme="1"/>
        <rFont val="Montserrat"/>
      </rPr>
      <t xml:space="preserve">
[Document signed]</t>
    </r>
  </si>
  <si>
    <t>Provide document code and version (eg. FL-IOM-XXX.1)</t>
  </si>
  <si>
    <t>Provide document code and version (eg. FL-FTR-XXX.1)</t>
  </si>
  <si>
    <t>Have all expected and planned deliverables been successfully completed and accepted for Pre-Serie production?</t>
  </si>
  <si>
    <t>Update the "Action Item Status" in the Action Item Sheet: Are all the action items closed? (if any)</t>
  </si>
  <si>
    <t xml:space="preserve">Can the Pre-Serie production be launched? </t>
  </si>
  <si>
    <t>If one or more Acceptance Criteria answer/s is/are "NO", plan related actions to be mandatory performed within a new Execution Review or the Deployment Review and provide a justification for actions (not mandatory) that will not be completed within the Deployment Review. Report all evaluations in the Meeting Minutes section.</t>
  </si>
  <si>
    <t xml:space="preserve">Execution Review Meeting </t>
  </si>
  <si>
    <t>Provide document code and version (eg. FL-SDP-XXX.1)</t>
  </si>
  <si>
    <r>
      <rPr>
        <b/>
        <sz val="10"/>
        <color theme="1"/>
        <rFont val="Montserrat"/>
      </rPr>
      <t>Standard Firmware Documentation</t>
    </r>
    <r>
      <rPr>
        <sz val="10"/>
        <color theme="1"/>
        <rFont val="Montserrat"/>
      </rPr>
      <t xml:space="preserve">
[Document signed]</t>
    </r>
  </si>
  <si>
    <t>Provide document code and version (eg. FL-SFD-XXX.1)</t>
  </si>
  <si>
    <r>
      <rPr>
        <b/>
        <sz val="10"/>
        <color theme="1"/>
        <rFont val="Montserrat"/>
      </rPr>
      <t>Software Design &amp; Development Plan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</si>
  <si>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>Software Architecture</t>
    </r>
    <r>
      <rPr>
        <sz val="10"/>
        <color theme="1"/>
        <rFont val="Montserrat"/>
      </rPr>
      <t xml:space="preserve">
[Document signed]</t>
    </r>
  </si>
  <si>
    <t>Provide document code and version (eg. FL-SA.1)</t>
  </si>
  <si>
    <r>
      <rPr>
        <b/>
        <sz val="10"/>
        <color theme="1"/>
        <rFont val="Montserrat"/>
      </rPr>
      <t xml:space="preserve">Design Specification </t>
    </r>
    <r>
      <rPr>
        <sz val="10"/>
        <color theme="1"/>
        <rFont val="Montserrat"/>
      </rPr>
      <t xml:space="preserve">
[Document signed]</t>
    </r>
  </si>
  <si>
    <t>Provide document code and version (eg. FL-DS-XXX.1)</t>
  </si>
  <si>
    <r>
      <rPr>
        <b/>
        <sz val="10"/>
        <color theme="1"/>
        <rFont val="Montserrat"/>
      </rPr>
      <t>Final Test Report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</si>
  <si>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>Technical issue list</t>
    </r>
    <r>
      <rPr>
        <sz val="10"/>
        <color theme="1"/>
        <rFont val="Montserrat"/>
      </rPr>
      <t xml:space="preserve">
[Document signed]</t>
    </r>
  </si>
  <si>
    <t>Provide document code and version (eg. FL-TIL-XXX.1)</t>
  </si>
  <si>
    <r>
      <rPr>
        <b/>
        <sz val="10"/>
        <color theme="1"/>
        <rFont val="Montserrat"/>
      </rPr>
      <t>Installation checklist</t>
    </r>
    <r>
      <rPr>
        <sz val="10"/>
        <color theme="1"/>
        <rFont val="Montserrat"/>
      </rPr>
      <t xml:space="preserve">
[Document filled in and loaded on SharePoint]</t>
    </r>
  </si>
  <si>
    <t>Provide document code and version (eg. FL-CHL-XXX.1)</t>
  </si>
  <si>
    <r>
      <rPr>
        <b/>
        <sz val="10"/>
        <color theme="1"/>
        <rFont val="Montserrat"/>
      </rPr>
      <t>Software Safety Classifications</t>
    </r>
    <r>
      <rPr>
        <sz val="10"/>
        <color theme="1"/>
        <rFont val="Montserrat"/>
      </rPr>
      <t xml:space="preserve">
[Document signed]</t>
    </r>
  </si>
  <si>
    <t>Provide document code and version (eg. FL-SWC-XXX.1)</t>
  </si>
  <si>
    <t>Provide document code and version (eg. FL-CM-XXX.1)</t>
  </si>
  <si>
    <r>
      <rPr>
        <b/>
        <sz val="10"/>
        <color theme="1"/>
        <rFont val="Montserrat"/>
      </rPr>
      <t xml:space="preserve">Driver-Core Compatibility (SW driver - SW core) </t>
    </r>
    <r>
      <rPr>
        <sz val="10"/>
        <color theme="1"/>
        <rFont val="Montserrat"/>
      </rPr>
      <t xml:space="preserve">
[Document signed]</t>
    </r>
  </si>
  <si>
    <t>Provide document code and version (eg. FL-DCC.1)</t>
  </si>
  <si>
    <r>
      <rPr>
        <b/>
        <sz val="10"/>
        <color theme="1"/>
        <rFont val="Montserrat"/>
      </rPr>
      <t>Software Core Compatibility</t>
    </r>
    <r>
      <rPr>
        <sz val="10"/>
        <color theme="1"/>
        <rFont val="Montserrat"/>
      </rPr>
      <t xml:space="preserve">
[Document signed]</t>
    </r>
  </si>
  <si>
    <t>Provide document code and version (eg. FL-SCC.1)</t>
  </si>
  <si>
    <t>Are all bugs with HIGH severity due to Safety YES Closed? (if any)</t>
  </si>
  <si>
    <t>Are all bugs with HIGH severity due to impact on basic feature that gets product unusable closed? (if any)</t>
  </si>
  <si>
    <t>Are all bugs with HIGH severity due to impact on Performance Claim closed? (if any)</t>
  </si>
  <si>
    <t>Are all bugs with HIGH severity due to safety risk with impact on Mitigation Method closed? (if any)</t>
  </si>
  <si>
    <t>Are all bugs with HIGH severity due to security risk defined as Uncontrolled closed? (if any)</t>
  </si>
  <si>
    <t>Are all bugs with HIGH severity due to vulnerability severity (refer to CVSS v.3 Score – Inpeco use) as Critical closed? (if any)"</t>
  </si>
  <si>
    <t>Are all bugs with HIGH severity due to security risk with impact on loss of confidentiality closed? (if any)</t>
  </si>
  <si>
    <t xml:space="preserve">Execution Review Passed? </t>
  </si>
  <si>
    <t xml:space="preserve">Deployment Review Meeting </t>
  </si>
  <si>
    <t>Report here the meeting minutes of the conducted review.
No Action Item shall remain open.
Any additional notes/comments.</t>
  </si>
  <si>
    <t>Are all bugs with HIGH severity due to Safety YES Closed? (if any)*</t>
  </si>
  <si>
    <t>Are all bugs with HIGH severity due to safety risk with impact on Mitigation Method closed? (if any)*</t>
  </si>
  <si>
    <t>Are all bugs with HIGH severity due to security risk defined as Uncontrolled closed? (if any)*</t>
  </si>
  <si>
    <t xml:space="preserve">Deployment Review Passed? </t>
  </si>
  <si>
    <t>If one or more Acceptance Criteria answer is/are "NO", provide a justification to proceed with successfull Project closure in the Meeting Minutes section. 
(*) if the Acceptance Criteria answer is "NO",  the Medical Affairs additional signature is required</t>
  </si>
  <si>
    <t xml:space="preserve">Release to Market Review Meeting </t>
  </si>
  <si>
    <t>Action items</t>
  </si>
  <si>
    <t>#</t>
  </si>
  <si>
    <t>Open Date</t>
  </si>
  <si>
    <t>Design Review</t>
  </si>
  <si>
    <t xml:space="preserve">Owner </t>
  </si>
  <si>
    <t>Status</t>
  </si>
  <si>
    <t>Due date</t>
  </si>
  <si>
    <t>Justification</t>
  </si>
  <si>
    <t xml:space="preserve">Action item ID </t>
  </si>
  <si>
    <t>Date the Action Item has been opened.</t>
  </si>
  <si>
    <t>Name of the review in which the Action Item has been opened</t>
  </si>
  <si>
    <t>Description of the Action Item</t>
  </si>
  <si>
    <t>Person in charge of closing the Action Item.</t>
  </si>
  <si>
    <t>Open/Closed</t>
  </si>
  <si>
    <t xml:space="preserve">Notes/Updates </t>
  </si>
  <si>
    <t>Date of expected Action Item closure (Mandatory)</t>
  </si>
  <si>
    <t>Justification for proceeding with Project closure while the Action Item remains open. (This Mandatory field should also include any constraints related to Action Item acceptance - e.g. No shipment planned before due date).</t>
  </si>
  <si>
    <t>STATUS</t>
  </si>
  <si>
    <t>Required - To be done</t>
  </si>
  <si>
    <t>Completed</t>
  </si>
  <si>
    <t>Not required</t>
  </si>
  <si>
    <t>No Impact</t>
  </si>
  <si>
    <t>QUESTIONS</t>
  </si>
  <si>
    <t>YES</t>
  </si>
  <si>
    <t>NO</t>
  </si>
  <si>
    <t>YES WITH ACTION ITEM/S</t>
  </si>
  <si>
    <t>REVIEW</t>
  </si>
  <si>
    <t>Kick-off</t>
  </si>
  <si>
    <t>Planning</t>
  </si>
  <si>
    <t>Execution</t>
  </si>
  <si>
    <t>Deployment</t>
  </si>
  <si>
    <t>Previous Increment</t>
  </si>
  <si>
    <t>Open</t>
  </si>
  <si>
    <t>On Going</t>
  </si>
  <si>
    <t>Closed</t>
  </si>
  <si>
    <t>1 - If applicable, select "Performance Claim" in the "Impacts on" field on Jira
2 - If applicable, add project in to the "Affected Multi-project" field on Jira (Project Manager)
3 - User needs document (MOD-JUN) signed</t>
  </si>
  <si>
    <t>Report here the expected Markets and the new languages.</t>
  </si>
  <si>
    <t>1 - Purchase order receipt to start the development of activities of a specific input (e.g. development of enhancement requested by Customers)</t>
  </si>
  <si>
    <t>1 - Draft Change Order created and filled in
2 - Report in the "Intent of the change description" the list of the changes that needs to be evaluate for change impact
3 - Notify via email Quality Assurance and Regulatory Affairs for Change Impact Assessment (MOD-CIA)</t>
  </si>
  <si>
    <t>Project Manager
Development Team
Product Compliance
Quality Assurance</t>
  </si>
  <si>
    <t>1. PLANNING PHASE</t>
  </si>
  <si>
    <r>
      <rPr>
        <b/>
        <sz val="11"/>
        <color rgb="FFEA8651"/>
        <rFont val="Montserrat"/>
      </rPr>
      <t xml:space="preserve">PLANNING/EXECUTION REVIEW/DEPLOYMENT/RELEASE TO MARKET </t>
    </r>
    <r>
      <rPr>
        <b/>
        <sz val="11"/>
        <color theme="0"/>
        <rFont val="Montserrat"/>
      </rPr>
      <t>REVIEW</t>
    </r>
    <r>
      <rPr>
        <b/>
        <sz val="10"/>
        <color rgb="FFEA8651"/>
        <rFont val="Montserrat"/>
      </rPr>
      <t xml:space="preserve">
 PROJECT NAME - INCREMENT #</t>
    </r>
  </si>
  <si>
    <t>Product Manager (only for Planning/Deployment/Release to Market Review)</t>
  </si>
  <si>
    <t>Product  Development  Manager 
(only for Planning/Deployment/Release to Market Review)</t>
  </si>
  <si>
    <t>Head of Development (for AP projects only)
(only for Planning/ Deployment/Release to Market Review)</t>
  </si>
  <si>
    <t>Head of SW &amp; Integrated System  (for TTP SW projects only)
(only for Planning/ Deployment/Release to Market Review)</t>
  </si>
  <si>
    <t>Head of Mechatronics (for TTP Mechatronics projects only)
(only for Planning/ Deployment/Release to Market Review)</t>
  </si>
  <si>
    <t>Third Party (only for Planning/ Deployment Review and Release to Market Review, in case of Third Party Release)</t>
  </si>
  <si>
    <t>1 - Fill in  "Project Scope and Intended Use" field in "Planning Review"</t>
  </si>
  <si>
    <t>1 - Fill in  "Markets &amp; Translation Needs" field in "Planning Review"</t>
  </si>
  <si>
    <t>1 - Fill in  "Target " field in "Planning Review"</t>
  </si>
  <si>
    <t>1 - Fill in "Ticket" section in "Planning Review" considering:
 - Service Ticket(s)
 - Field Enhancement(s)
 - Manufacturing Ticket(s) (OPL and/or OBS)
 - IVD Vendor/Distributor Enhancement(s)
 - Internal Enhancement(s)
 - Internal Issue(s)</t>
  </si>
  <si>
    <t>1 - Fill in "Meeting Minutes" field in "Planning Review" any relevant information</t>
  </si>
  <si>
    <t>1 - Fill in "Maturity Level" field in "Planning Review"
2 - Fill in "Target Customer" field in "Planning Review"
3 - Fill in "Product Type" field in "Planning Review"</t>
  </si>
  <si>
    <t>1 - Member invited at the Planning Review</t>
  </si>
  <si>
    <t>'1 - Fill in "Meeting Minutes" field in "Planning Review" for any relevant information (e.g. high level representation of the solution)</t>
  </si>
  <si>
    <t xml:space="preserve">1 - Fill in "Meeting Minutes" field in "Planning Review" any relevant information
2 -Added and review Affected Multi-project field for System Project, if applicable. </t>
  </si>
  <si>
    <t>1 - Fill in "Planning Review" the "Pre-Serie foresees?" field in case of need of Pre-Serie</t>
  </si>
  <si>
    <t>1 - Fill in "Planning Review" the section related to Budget</t>
  </si>
  <si>
    <t>1 - Fill in "Planning Review" the expected due date for all the next phases</t>
  </si>
  <si>
    <t>1 - Fill in "Project Approved" / "Go-No Go Decision" field in "Planning Review" including commercial Part Number definition</t>
  </si>
  <si>
    <t xml:space="preserve">Planning Review Meeting </t>
  </si>
  <si>
    <t>If one or more Acceptance Criteria answer/s is/are "NO", plan related actions to be mandatory performed within a new Planning Review or the Execution Review and provide a justification for actions (not mandatory) that will not be completed within the Deployment Review. Report all evaluations in the Meeting Minutes section.</t>
  </si>
  <si>
    <r>
      <t>Project Manager
Development Team
Product Compliance
Product Certification</t>
    </r>
    <r>
      <rPr>
        <strike/>
        <sz val="10"/>
        <color theme="1"/>
        <rFont val="Montserrat"/>
      </rPr>
      <t xml:space="preserve">
</t>
    </r>
    <r>
      <rPr>
        <sz val="10"/>
        <color theme="1"/>
        <rFont val="Montserrat"/>
      </rPr>
      <t>Manufacturing</t>
    </r>
  </si>
  <si>
    <t>Project Manager
Product Certification
Regulatory Affairs</t>
  </si>
  <si>
    <t>DEVELOPMENT TEAM
(TECHNICAL DOCUMENTATION &amp; MANUALS)
PRODUCT CERTIFICATION</t>
  </si>
  <si>
    <t>DEVELOPMENT TEAM (HW)</t>
  </si>
  <si>
    <t>1 - 'Design and Coding of Safety Labels (e.g. High Voltage) on EPDM (DEVELOPMENT TEAM (TECHNICAL DOCUMENTATION &amp; MANUALS))
2 - Design and Coding of Informative Labels (e.g. Do not put weights on cover) on EPDM (DEVELOPMENT TEAM (TECHNICAL DOCUMENTATION &amp; MANUALS))
3 - Design and codice of the regulatory/statury Labels on EPDM (PRODUCT CERTIFICATION)
4 - 'Inclusion of applicable labels in the Label BOM. (DEVELOPMENT TEAM (TECHNICAL DOCUMENTATION &amp; MANUALS))</t>
  </si>
  <si>
    <t>If one or more Acceptance Criteria answer/s is/are "NO", plan related actions to be mandatory performed within a new Pre-Serie Launch Review or the Execution  Review. Report all evaluations in the Meeting Minutes section.</t>
  </si>
  <si>
    <t>1 - Demo/presentation of the prototype to stakeholders
'2 - Fill in "Meeting Minutes" field in "Execution Review" any relevant information</t>
  </si>
  <si>
    <r>
      <rPr>
        <b/>
        <sz val="10"/>
        <color theme="1"/>
        <rFont val="Montserrat"/>
      </rPr>
      <t>BOM Approved</t>
    </r>
    <r>
      <rPr>
        <sz val="10"/>
        <color theme="1"/>
        <rFont val="Montserrat"/>
      </rPr>
      <t xml:space="preserve">
[BOM, including Labels, shall be in "Approved" status in EPDM]</t>
    </r>
  </si>
  <si>
    <r>
      <rPr>
        <b/>
        <sz val="10"/>
        <color theme="1"/>
        <rFont val="Montserrat"/>
      </rPr>
      <t>Translated Operations Manuals</t>
    </r>
    <r>
      <rPr>
        <sz val="10"/>
        <color theme="1"/>
        <rFont val="Montserrat"/>
      </rPr>
      <t xml:space="preserve">
[Document Approved, but not shared]</t>
    </r>
  </si>
  <si>
    <r>
      <rPr>
        <b/>
        <sz val="10"/>
        <color theme="1"/>
        <rFont val="Montserrat"/>
      </rPr>
      <t>Operations Manual</t>
    </r>
    <r>
      <rPr>
        <sz val="10"/>
        <color theme="1"/>
        <rFont val="Montserrat"/>
      </rPr>
      <t xml:space="preserve">
[Document Approved, but not shared]</t>
    </r>
  </si>
  <si>
    <r>
      <rPr>
        <b/>
        <sz val="10"/>
        <color theme="1"/>
        <rFont val="Montserrat"/>
      </rPr>
      <t>Service Manual</t>
    </r>
    <r>
      <rPr>
        <sz val="10"/>
        <color theme="1"/>
        <rFont val="Montserrat"/>
      </rPr>
      <t xml:space="preserve">
[Document Approved, but not shared]</t>
    </r>
  </si>
  <si>
    <t>Provide document code and version (e.g. FL-FRE.1)</t>
  </si>
  <si>
    <r>
      <rPr>
        <b/>
        <sz val="10"/>
        <color theme="1"/>
        <rFont val="Montserrat"/>
      </rPr>
      <t>Final Risk Evaluation</t>
    </r>
    <r>
      <rPr>
        <sz val="10"/>
        <color theme="1"/>
        <rFont val="Montserrat"/>
      </rPr>
      <t xml:space="preserve">
[Document signed]</t>
    </r>
  </si>
  <si>
    <t>Project Manager
Project Team Members
Medical Affairs</t>
  </si>
  <si>
    <r>
      <rPr>
        <sz val="10"/>
        <color theme="1"/>
        <rFont val="Montserrat"/>
      </rPr>
      <t>1 - Final Risk Evaluation document (MOD-FRE) digitally signed.</t>
    </r>
  </si>
  <si>
    <t>1 - Validation test protocol executed and approved
2 - Validation Test Report (MOD-JTMR) digitally signed*
*Deliverable complying, among others, also with standard IEC 62304</t>
  </si>
  <si>
    <t>Provide document code and version (e.g. FL-VAR-XXX.1)</t>
  </si>
  <si>
    <r>
      <rPr>
        <b/>
        <sz val="10"/>
        <color theme="1"/>
        <rFont val="Montserrat"/>
      </rPr>
      <t>Validation Test Report</t>
    </r>
    <r>
      <rPr>
        <sz val="10"/>
        <color theme="1"/>
        <rFont val="Montserrat"/>
      </rPr>
      <t xml:space="preserve">
[Document signed]</t>
    </r>
  </si>
  <si>
    <t>1 - Product Information, other documents…</t>
  </si>
  <si>
    <t>Provide document code and version (e.g. FL-TDF.1)</t>
  </si>
  <si>
    <t>Provide document code and version (e.g. FL-RTA-XXX.1)</t>
  </si>
  <si>
    <t>PROJECT TEAM
REGULATORY AFFAIRS
PRODUCT CERTIFICATION</t>
  </si>
  <si>
    <t>PROJECT TEAM</t>
  </si>
  <si>
    <r>
      <t xml:space="preserve">1 - 'Draft Regression Analysis (MOD-REA) filled in. 
2 - Draft Release Report (MOD-JRR) filled in.
3 - After other departments completion, Regression Analysis* (MOD-REA) digitally signed. 
4 - Release Report (MOD-JRR) digitally signed.
</t>
    </r>
    <r>
      <rPr>
        <sz val="8"/>
        <color rgb="FF333333"/>
        <rFont val="Montserrat"/>
      </rPr>
      <t xml:space="preserve">
</t>
    </r>
    <r>
      <rPr>
        <sz val="10"/>
        <color rgb="FF333333"/>
        <rFont val="Montserrat"/>
      </rPr>
      <t>* Deliverable complying, among others, also with standard IEC 62304</t>
    </r>
  </si>
  <si>
    <t>83.1 - 'Draft Change Order filled in by all the involved team members and departments
2 - Change Order* Approved
3 - Change Order Package completion
* Deliverable complying, among others, also with standard IEC 62304</t>
  </si>
  <si>
    <t>Project Team</t>
  </si>
  <si>
    <t>1 - 'Performance Evaluation Report* (MOD-PERR) signed</t>
  </si>
  <si>
    <t>1 - 'Post Market Performance Follow Up Plan* (MOD-PMPFP) signed</t>
  </si>
  <si>
    <t>1 - 'Post Market Surveillance Plan* (MOD-PMSP) signed</t>
  </si>
  <si>
    <t>1 - "General Safety and Performance Requirement" (MOD-GSPR)</t>
  </si>
  <si>
    <t>MCSW &amp; SW Package</t>
  </si>
  <si>
    <t>Provide PN package code and version</t>
  </si>
  <si>
    <r>
      <t xml:space="preserve">Report here if it a </t>
    </r>
    <r>
      <rPr>
        <b/>
        <sz val="10"/>
        <color rgb="FFEA8651"/>
        <rFont val="Montserrat"/>
      </rPr>
      <t>Major or Minor</t>
    </r>
    <r>
      <rPr>
        <sz val="10"/>
        <color rgb="FFEA8651"/>
        <rFont val="Montserrat"/>
      </rPr>
      <t xml:space="preserve"> Change
Report here any reason of not applicability or not updated</t>
    </r>
  </si>
  <si>
    <t>Report here the needed information or report "Refer to "powerpoint title".pptx"</t>
  </si>
  <si>
    <t>Sample Tubes - Qualification Needs</t>
  </si>
  <si>
    <t>Product Manager
Customer Success
Procurement
Production Quality
Manufacturing
Development Team</t>
  </si>
  <si>
    <t>Customer Success
Product Manager
Manufacturing
Procurement
Quality Control
Development Team</t>
  </si>
  <si>
    <t>DEVELOPMENT TEAM</t>
  </si>
  <si>
    <t>Development Team
Product Certification
Product Compliance</t>
  </si>
  <si>
    <t>Project Manager
Development Team
Product Compliance</t>
  </si>
  <si>
    <t>Development Team
Product Certification
Product Compliance
Customer Success
Commercial areas (Direct, Distributor, IVD Vendor)
Quality Assurance
Regulatory Affairs</t>
  </si>
  <si>
    <t>DEVELOPMENT TEAM
(HARDWARE)</t>
  </si>
  <si>
    <t>1 - Draft "Regression Analysis" (MOD-REA) created and filled in (Project Manager)
2 - Define impacts on Verification and Validation on Created Regression Analysis (Tester)</t>
  </si>
  <si>
    <t>PROJECT MANAGER
DEVELOPMENT TEAM (TESTER)</t>
  </si>
  <si>
    <t>Project Manager
Development Team
Product Certification
Medical Affair</t>
  </si>
  <si>
    <r>
      <t>Development Team
Product Compliance
Product Certification
Regulatory Affairs
Manufacturing
Procurement</t>
    </r>
    <r>
      <rPr>
        <b/>
        <sz val="10"/>
        <color theme="1"/>
        <rFont val="Montserrat"/>
      </rPr>
      <t xml:space="preserve">
</t>
    </r>
    <r>
      <rPr>
        <sz val="10"/>
        <color theme="1"/>
        <rFont val="Montserrat"/>
      </rPr>
      <t>Distributor, IVD Vendor
Product Manager</t>
    </r>
  </si>
  <si>
    <t>1 - 'Conduction of the meeting review and "Execution Review" digitally signed</t>
  </si>
  <si>
    <t>Development Team
Product Compliance
Product Certification
Production Quality
Manufacturing
Procurement</t>
  </si>
  <si>
    <t>Controlling
ICT
Development Team
Product Compliance
Product Certification
All stakeholders that need to account for</t>
  </si>
  <si>
    <t>DEVELOPMENT TEAM (MCSW/SW)</t>
  </si>
  <si>
    <r>
      <t xml:space="preserve">1 - 'Software Safety Classifications* (MOD-SWC) signed, if involved software is classified as medical according IEC 62304
</t>
    </r>
    <r>
      <rPr>
        <sz val="8"/>
        <rFont val="Montserrat"/>
      </rPr>
      <t>*Deliverable complying, among others, also with standard IEC 62304</t>
    </r>
  </si>
  <si>
    <t>Provide document code and version (eg. VMP-XXX.1)</t>
  </si>
  <si>
    <t>DEVELOPMENT TEAM
(MCSW, SW)</t>
  </si>
  <si>
    <t>1 - SW artifact on repository with dedicated PN</t>
  </si>
  <si>
    <t>1 - 'Demo/presentation of the prototype to stakeholders
2 - Fill in "Meeting Minutes" field in "Execution Review" any relevant information</t>
  </si>
  <si>
    <t>DEVELOPMENT TEAM
(MCSW)</t>
  </si>
  <si>
    <t>SPARE PARTS ENGINEER</t>
  </si>
  <si>
    <t>Project Manager
Customer Success
Development Team</t>
  </si>
  <si>
    <t>DEVELOPMENT TEAM
(TESTER)</t>
  </si>
  <si>
    <r>
      <t xml:space="preserve">1 - 'Final Test Report* (MOD-JTMR) filled in, only if  "SYSTEM &amp; INTEGRATION TEST" has been evaluated as not required
2 - Task completed on Jira tool, according to department procedure and team instructions
</t>
    </r>
    <r>
      <rPr>
        <sz val="11"/>
        <color rgb="FF333333"/>
        <rFont val="Montserrat"/>
      </rPr>
      <t xml:space="preserve">
</t>
    </r>
    <r>
      <rPr>
        <sz val="10"/>
        <color rgb="FF333333"/>
        <rFont val="Montserrat"/>
      </rPr>
      <t>* Deliverable complying, among others, also with standard IEC 62304</t>
    </r>
  </si>
  <si>
    <t>DEVELOPMENT TEAM
(SW)
PROJECT MANAGER</t>
  </si>
  <si>
    <t>Project Manager
Development Team (SW)
Procurement</t>
  </si>
  <si>
    <r>
      <rPr>
        <b/>
        <sz val="10"/>
        <color rgb="FFEA8651"/>
        <rFont val="Montserrat"/>
      </rPr>
      <t xml:space="preserve">Other Software Output Documents
</t>
    </r>
    <r>
      <rPr>
        <sz val="10"/>
        <color rgb="FFEA8651"/>
        <rFont val="Montserrat"/>
      </rPr>
      <t>[Document signed]</t>
    </r>
  </si>
  <si>
    <t xml:space="preserve">1 - 'Label to be translated listed in a dedicated file shared with PM (Development Team (SW))
2 - 'Translation request process to obtain label translated (Project Manager)
3 - 'Integration of translated label in software code and reported on Jira tool. Related Output document provided. (Development Team (SW)) </t>
  </si>
  <si>
    <t>Project Manager
Development Team</t>
  </si>
  <si>
    <t>1 - 'Final Test Report* (MOD-JTMR) filled in, only if "SYSTEM &amp; INTEGRATION TEST" has been evaluated as not required
2 - 'Task completed on Jira tool, according to department procedure and team instructions
* Deliverable complying, among others, also with standard IEC 62304</t>
  </si>
  <si>
    <t>Project Manager
Development Team (TESTER)
Product Compliance</t>
  </si>
  <si>
    <r>
      <rPr>
        <b/>
        <sz val="10"/>
        <color theme="1"/>
        <rFont val="Montserrat"/>
      </rPr>
      <t>Production Instructions</t>
    </r>
    <r>
      <rPr>
        <sz val="10"/>
        <color theme="1"/>
        <rFont val="Montserrat"/>
      </rPr>
      <t xml:space="preserve">
[Documents Approved and shared to Production]</t>
    </r>
  </si>
  <si>
    <t>1 - Service Manual draft</t>
  </si>
  <si>
    <t>1 - Operations Manual draft</t>
  </si>
  <si>
    <t>Project Manager
Product Compliance
Development Team
Biotech</t>
  </si>
  <si>
    <t>1 - 'Final Test Report* (MOD-JTMR) filled in and  digitally signed
2 - Task completed on Jira tool, according to department procedure and team instructions
*Deliverable complying, among others, also with standard IEC 62304</t>
  </si>
  <si>
    <t>1 - 'Compatibility Matrix (HW-FW-SW driver) document, as filled and reported on SharePoint
2 - 'Driver-Core Compatibility (SW driver - SW core) document digitally signed
3 - 'Software Core Compatibility document digitally signed</t>
  </si>
  <si>
    <t>Project Manager
Product Compliance
Customer Success</t>
  </si>
  <si>
    <t>Product Manager
Development Team
Product Compliance
Product Certification
Regulatory Affairs
Manufacturing
Production Quality
Procurement
Customer Success</t>
  </si>
  <si>
    <t>1 - 'BOM in "APPROVED" status in EPDM</t>
  </si>
  <si>
    <t>Project Manager
Product Manager
Development Team</t>
  </si>
  <si>
    <t>DEVELOPMENT TEAM (TECHNICAL DOCUMENTATION &amp; MANUALS)</t>
  </si>
  <si>
    <t>1 - Task completed on Jira tool, according to department procedure and team instructions</t>
  </si>
  <si>
    <t xml:space="preserve">1 - Spare Parts codes in “Approved Status” on EPDM
2 - Spare Parts excel list available </t>
  </si>
  <si>
    <t>DEVELOPMENT TEAM (HW/SW/MCSW)</t>
  </si>
  <si>
    <t>1 - Reference to Deployment Review included in TDF Draft, for medical device only</t>
  </si>
  <si>
    <t>Project Manager
Product Compliance
Product Manager</t>
  </si>
  <si>
    <t>PRODUCTION QUALITY</t>
  </si>
  <si>
    <t>Commercial areas (Direct, Distributor, IVD Vendor)
Product Manager
Development Team
Product Compliance
Product Certification
Regulatory Affairs
Manufacturing
Procurement
Controlling
Customer Success</t>
  </si>
  <si>
    <t>1 - 'Conduction of the meeting and "Deployment Review" digitally signed</t>
  </si>
  <si>
    <t>1 - Device master Record approved and loaded on repository</t>
  </si>
  <si>
    <t>Commercial areas (Direct, Distributor, IVD Vendor)
Product Manager
Development Team (HW)</t>
  </si>
  <si>
    <t>Project Team
Customer Success
Product Manager
Manufacturing
Commercial areas (Direct, Distributor, IVD Vendor)</t>
  </si>
  <si>
    <t>1 - Operations Manual approved and loaded on internal Inpeco repository (Sharepoint) - internal use only</t>
  </si>
  <si>
    <t>1 - Installation Checklist included in the Service Manual
2- Service Manual approved and loaded on internal Inpeco repository (Sharepoint) - internal use only</t>
  </si>
  <si>
    <t>1 - Testing Instructions loaded on repository (Sharepoint)
2 - Assembly Instructions loaded on repository (Sharepoint)
3 - Cabling Instructions loaded on repository (Sharepoint)
4 - Labeling Instructions loaded on repository (Sharepoint)
5 - Packaging Instructions loaded on repository (Sharepoint)</t>
  </si>
  <si>
    <t>1 - Installation checklist (MOD-CHL) filled in by all project team members and approved on SharePoint</t>
  </si>
  <si>
    <t>Project Manager
Development Team
Product Certification
Product Compliance</t>
  </si>
  <si>
    <t>DEVELOPMENT TEAM (HW/MCSW/SW)</t>
  </si>
  <si>
    <t>1 - Code Review according to department procedure and team instructions
2- 'Design Specification* (MOD-DS) digitally signed
*Deliverable complying, among others, also with standard IEC 62304</t>
  </si>
  <si>
    <t>Project Manager
Development Team
Product Certification
Product Compliance 
Procurement</t>
  </si>
  <si>
    <t>Project Manager
Development Team
Product Certification</t>
  </si>
  <si>
    <t>1 - Design &amp; Development Plan* (MOD-FDDP) digitally signed
2 - 'Standard Firmware Documentation* (MOD-SFD) digitally signed
3 - Other Output Documents (MOD-SDD) included Confidential Documents, Installation Procedure, if needed
4  - 'Safety Regression Analysis for safety fixes filled in on Jira tool within Root cause field
*Deliverable complying, among others, also with standard IEC 62304</t>
  </si>
  <si>
    <t>DEVELOPMENT TEAM
(SW)</t>
  </si>
  <si>
    <t>Project Manager
Product Compliance
Development Team (TESTER)</t>
  </si>
  <si>
    <t>Project Manager
Manufacturing
Procurement
Development Team</t>
  </si>
  <si>
    <t>1 - 'Email/other communication means to inform other stakeholder of the release</t>
  </si>
  <si>
    <t>1- 'Clearance obtained</t>
  </si>
  <si>
    <t>QUALITY ASSURANCE</t>
  </si>
  <si>
    <t>Project Manager
Regulatory Affairs
Product Compliance</t>
  </si>
  <si>
    <t>Project Manager
Quality Assurance</t>
  </si>
  <si>
    <t>1. Update to EU Declaration of Conformities</t>
  </si>
  <si>
    <t>Product Certification
Regulatory Affairs</t>
  </si>
  <si>
    <t>Commercial areas (Direct, Distributor, IVD Vendor)
Product Manager
Product Compliance
Product Certification
Regulatory Affairs
Manufacturing
Procurement
Customer Success</t>
  </si>
  <si>
    <t>Product Manager
Development Team
Product Compliance
Product Certification
Regulatory Affairs
Manufacturing
Procurement</t>
  </si>
  <si>
    <t>1 - 'Conduction of the meeting and "Release to Market Review" digitally signed</t>
  </si>
  <si>
    <t>Project Manager
Product Compliance
Regulatory Affairs
Development Team
Manufacturing
Customer Success</t>
  </si>
  <si>
    <t>1 - RDA sent (HW)
2 - RA sent (HW)
3 - RA process and monitoring tool update (PROCUREMENT)
4 - RDA process and monitoring tool update (R&amp;D HW)
5 - Task closed when all required material is received (HW)</t>
  </si>
  <si>
    <t>DEVELOPMENT TEAM (HW)
PROCUREMENT</t>
  </si>
  <si>
    <t>Project Manager
Controlling
Product Manager
Development Team (HW)</t>
  </si>
  <si>
    <t>Project Manager
Development Team (TESTER)
Product Compliance
Customer Success</t>
  </si>
  <si>
    <t>Conclusion of the Pre-Serie Design Transfer: are the design and development outputs verified as suitable for manufacturing?</t>
  </si>
  <si>
    <t>Have all expected and planned task/deliverables been successfully completed?</t>
  </si>
  <si>
    <t>Production Manager</t>
  </si>
  <si>
    <t>Production Quality Manager</t>
  </si>
  <si>
    <t>Conclusion of the Design Transfer: are the design and development outputs verified as suitable for manufacturing?</t>
  </si>
  <si>
    <t>Have all the Action Item been closed?</t>
  </si>
  <si>
    <t xml:space="preserve">Release to Market Review Passed? </t>
  </si>
  <si>
    <t>Deliverable Check - update from previous Reviews</t>
  </si>
  <si>
    <t>Report the deliverable updated from previous Review</t>
  </si>
  <si>
    <t>Report here the reason of the change from previous version</t>
  </si>
  <si>
    <t>Provide document code and version (eg. FL-INT.1)</t>
  </si>
  <si>
    <t>Provide document code and version (eg. FL-FDDP-XXX.1)</t>
  </si>
  <si>
    <t>Provide document code and version (eg. FL-SD-XXX.1)</t>
  </si>
  <si>
    <t>Provide all the document code and version (e.g. 3UXXXXXX.-da-DK.01)</t>
  </si>
  <si>
    <t>Provide document code and version (e.g. FL-GSPR.1)</t>
  </si>
  <si>
    <r>
      <rPr>
        <b/>
        <sz val="10"/>
        <color theme="1"/>
        <rFont val="Montserrat"/>
      </rPr>
      <t>Technical Files</t>
    </r>
    <r>
      <rPr>
        <sz val="10"/>
        <color theme="1"/>
        <rFont val="Montserrat"/>
      </rPr>
      <t xml:space="preserve">
[Document updated]</t>
    </r>
  </si>
  <si>
    <r>
      <rPr>
        <b/>
        <sz val="10"/>
        <color theme="1"/>
        <rFont val="Montserrat"/>
      </rPr>
      <t>Technical Data Sheet</t>
    </r>
    <r>
      <rPr>
        <sz val="10"/>
        <color theme="1"/>
        <rFont val="Montserrat"/>
      </rPr>
      <t xml:space="preserve">
[Document updated]</t>
    </r>
  </si>
  <si>
    <r>
      <rPr>
        <b/>
        <sz val="10"/>
        <color theme="1"/>
        <rFont val="Montserrat"/>
      </rPr>
      <t>Product Information</t>
    </r>
    <r>
      <rPr>
        <sz val="10"/>
        <color theme="1"/>
        <rFont val="Montserrat"/>
      </rPr>
      <t xml:space="preserve">
[Document updated]</t>
    </r>
  </si>
  <si>
    <t>Provide document code and version (e.g. FL-PCL-XXX.1)</t>
  </si>
  <si>
    <r>
      <rPr>
        <b/>
        <sz val="10"/>
        <color theme="1"/>
        <rFont val="Montserrat"/>
      </rPr>
      <t>Performance Claim List</t>
    </r>
    <r>
      <rPr>
        <sz val="10"/>
        <color theme="1"/>
        <rFont val="Montserrat"/>
      </rPr>
      <t xml:space="preserve">
[Document updated]</t>
    </r>
  </si>
  <si>
    <t>Provide document code and version (e.g. FL-REA-XXX.1)</t>
  </si>
  <si>
    <t>Provide document code and version (e.g. FL-PMSP.1)</t>
  </si>
  <si>
    <t>Provide document code and version (e.g. 3MXXXXXX.-en-US.01 and FL-ASM-XXX.1)</t>
  </si>
  <si>
    <t>Provide document code and version (e.g. 3UXXXXXX.-en-US.01 and FL-OMA-XXX.1)</t>
  </si>
  <si>
    <t>Provide all the document code and version (e.g. FLEXISTXXX-XX.1 and FL-ALI-XXX.1)</t>
  </si>
  <si>
    <t>Provide document code and version (e.g. FL-PMPFP-XXX.1)</t>
  </si>
  <si>
    <t>Provide document code and version (e.g. FL-PER-XXX.1)</t>
  </si>
  <si>
    <r>
      <rPr>
        <b/>
        <sz val="10"/>
        <color theme="1"/>
        <rFont val="Montserrat"/>
      </rPr>
      <t>Change Order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</si>
  <si>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 xml:space="preserve">Regression Analysis 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</si>
  <si>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>Release Report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</si>
  <si>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>Release Training Agenda (Inpeco Internal)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</si>
  <si>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>Performance Evaluation Report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</si>
  <si>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>Post Market Performance Follow Up Plan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</si>
  <si>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>Post Market Surveillance Plan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</si>
  <si>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>General Safety and Performance Requirement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</si>
  <si>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>Analyzer Compatibility</t>
    </r>
    <r>
      <rPr>
        <sz val="10"/>
        <color theme="1"/>
        <rFont val="Montserrat"/>
      </rPr>
      <t xml:space="preserve">
[Document updated]</t>
    </r>
  </si>
  <si>
    <r>
      <rPr>
        <b/>
        <sz val="10"/>
        <color theme="1"/>
        <rFont val="Montserrat"/>
      </rPr>
      <t>Device Master Record</t>
    </r>
    <r>
      <rPr>
        <sz val="10"/>
        <color theme="1"/>
        <rFont val="Montserrat"/>
      </rPr>
      <t xml:space="preserve">
[Document signed]</t>
    </r>
  </si>
  <si>
    <t>Provide document code and version (e.g. FL-RR-XXX.1)</t>
  </si>
  <si>
    <t>Have all expected and planned deliverables been successfully completed?</t>
  </si>
  <si>
    <t xml:space="preserve">If one or more Acceptance Criteria answer is/are "NO", provide a justification to proceed with successfull Project closure in the Meeting Minutes section. </t>
  </si>
  <si>
    <t>Have all the expected registration/listing been completed?</t>
  </si>
  <si>
    <t>Product Compliance Specialist</t>
  </si>
  <si>
    <t>Additional Job Title</t>
  </si>
  <si>
    <r>
      <rPr>
        <b/>
        <sz val="10"/>
        <color theme="1"/>
        <rFont val="Montserrat"/>
      </rPr>
      <t>Change Order draft</t>
    </r>
    <r>
      <rPr>
        <sz val="10"/>
        <color theme="1"/>
        <rFont val="Montserrat"/>
      </rPr>
      <t xml:space="preserve">
[Intent of Change fixed]</t>
    </r>
  </si>
  <si>
    <t>Expected Pre-Serie Launch Review</t>
  </si>
  <si>
    <t>YYYY/MM/DD, if foresees</t>
  </si>
  <si>
    <t>In case of release as part of Product, report the Product Line otherwise report N/A
FlexLab STD, HT, X, a3600, Aptio by Inpeco (Aptio 2), Aptio by Siemens (Aptio 1)
ProTube
FlexPath Trace, Blox, Store, Move
Product Component
Life Sciences products</t>
  </si>
  <si>
    <t>Have the HW test been completed and documented for starting the Pre-Serie production?</t>
  </si>
  <si>
    <t>Production Manager - in case of Pre-Serie Launch Review had been conducted</t>
  </si>
  <si>
    <r>
      <rPr>
        <b/>
        <sz val="10"/>
        <color theme="1"/>
        <rFont val="Montserrat"/>
      </rPr>
      <t>Module Control Software Design &amp; Development Plan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</si>
  <si>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 xml:space="preserve">Compatibility Matrix (HW-MCSW-SW driver) </t>
    </r>
    <r>
      <rPr>
        <sz val="10"/>
        <color theme="1"/>
        <rFont val="Montserrat"/>
      </rPr>
      <t xml:space="preserve">
[Document signed]</t>
    </r>
  </si>
  <si>
    <r>
      <rPr>
        <b/>
        <sz val="10"/>
        <color theme="1"/>
        <rFont val="Montserrat"/>
      </rPr>
      <t xml:space="preserve">Automation/Host LIS Interface Specifications
</t>
    </r>
    <r>
      <rPr>
        <sz val="10"/>
        <color theme="1"/>
        <rFont val="Montserrat"/>
      </rPr>
      <t>[Document signed]</t>
    </r>
  </si>
  <si>
    <r>
      <rPr>
        <b/>
        <sz val="10"/>
        <color theme="1"/>
        <rFont val="Montserrat"/>
      </rPr>
      <t xml:space="preserve">HW/MCSW/SW Tool Validation
</t>
    </r>
    <r>
      <rPr>
        <sz val="10"/>
        <color theme="1"/>
        <rFont val="Montserrat"/>
      </rPr>
      <t>[Document signed]</t>
    </r>
  </si>
  <si>
    <r>
      <rPr>
        <b/>
        <sz val="10"/>
        <color theme="1"/>
        <rFont val="Montserrat"/>
      </rPr>
      <t>Other Technical Files</t>
    </r>
    <r>
      <rPr>
        <sz val="10"/>
        <color theme="1"/>
        <rFont val="Montserrat"/>
      </rPr>
      <t xml:space="preserve">
[Document updated]</t>
    </r>
  </si>
  <si>
    <t>Provide document code and version (e.g. FL-DMRI.1)</t>
  </si>
  <si>
    <t>Provide document code and version of the certificate/report (e.g. for EMC)</t>
  </si>
  <si>
    <t>Report here any reason of not applicability or not updated.
Is it for a Controlled Launch?</t>
  </si>
  <si>
    <t>Controlled Launch foresees?</t>
  </si>
  <si>
    <t>Have the needed training to Distributors been planned?</t>
  </si>
  <si>
    <t>Have all the expected content (e.g. packages, marketing documents, manuals) been shared?</t>
  </si>
  <si>
    <r>
      <rPr>
        <b/>
        <sz val="10"/>
        <color theme="1"/>
        <rFont val="Montserrat"/>
      </rPr>
      <t>Technical Service Bulleting/Instrument Service Advisory (TSB/ISA)</t>
    </r>
    <r>
      <rPr>
        <sz val="10"/>
        <color theme="1"/>
        <rFont val="Montserrat"/>
      </rPr>
      <t xml:space="preserve">
[Document created]</t>
    </r>
  </si>
  <si>
    <t>1  - Fill in  "Volumes"  field in "Planning Review"</t>
  </si>
  <si>
    <t>1 - 'Execution of the following applicable steps:
     a. Time, cost and scope definition
     b. Material supply
     c. POC Design and development
     d. POC shared with stakeholders
2 - Fill in "Meeting Minutes" field in "Planning Review" for any relevant information</t>
  </si>
  <si>
    <t>1 - Assessment to be reported as aprt of Technical Report (HW) or fill in "Meeting Minutes" field in "Planning Review" for any relevant information</t>
  </si>
  <si>
    <t>1 - "Criticality Matrix" (MOD-HCM) signed
2 - "Design FMEA" (MOD-DFMEA), if needed, signed</t>
  </si>
  <si>
    <t>1 - Closure the project on project management software</t>
  </si>
  <si>
    <t>1 - 'Conduction of the meeting review and "Planning Review" signed</t>
  </si>
  <si>
    <t>1 - 'Definition of the Project - Code for Controlling
2 - Opening the project on JIRA or report the project opened during Planning phase, if not already opened
3 - Opening the project on DHF sharepoint or report the project opened during Planning phase, if not already opened
4 - Opening the project on project management software</t>
  </si>
  <si>
    <t>Project Manager
Product Manager
Development Team
Cost &amp; Value Engineering</t>
  </si>
  <si>
    <t>1 - 'Cost Estimation shared and archived on SharePoint
'2 - Fill in "Meeting Minutes" field in "Planning Review" any relevant information</t>
  </si>
  <si>
    <t>1 - Fill in "Meeting Minutes" field in "Pre-Serie Launch Review", if present, or in "Execution Review" any relevant information</t>
  </si>
  <si>
    <r>
      <t>1 - 'Verification test performed and traced on Jira tool
2 - 'Final Test Report (MOD-JTMR) filled i</t>
    </r>
    <r>
      <rPr>
        <sz val="10"/>
        <rFont val="Montserrat"/>
      </rPr>
      <t>n, only if "SYSTEM &amp; INTEGRATION TEST has been evaluated as not required</t>
    </r>
    <r>
      <rPr>
        <sz val="10"/>
        <color theme="1"/>
        <rFont val="Montserrat"/>
      </rPr>
      <t xml:space="preserve">
3 - Updated Layout related to the R&amp;D Automation System with the preserie on EPDM "APPROVED FOR PRESERIE"</t>
    </r>
  </si>
  <si>
    <t>1 - 'Conduction of the meeting review and "Pre-Serie Launch Review" signed</t>
  </si>
  <si>
    <r>
      <rPr>
        <b/>
        <sz val="10"/>
        <color theme="1"/>
        <rFont val="Montserrat"/>
      </rPr>
      <t>Detailed Hardware Specification</t>
    </r>
    <r>
      <rPr>
        <sz val="10"/>
        <color theme="1"/>
        <rFont val="Montserrat"/>
      </rPr>
      <t xml:space="preserve">
[Document signed]</t>
    </r>
  </si>
  <si>
    <t>Provide document code and version (eg. FL-DHS-XXX.1)</t>
  </si>
  <si>
    <t>1 - 'Dev and/or Collection Task reported on Jira tool
2 - 'Safety Regression Analysis for safety fixes filled in on Jira tool within Root cause field 
3 - 'Final Test Report (MOD-JTMR) filled in, only if  "SYSTEM &amp; INTEGRATION TEST has been evaluated as not required
4 - Task completed on Jira tool, according to department procedure and team instructions
5 - 'Internal HW check list
6 - Commercial components documents like Safety Data Sheets on EPDM
7 - Detailed Hardware Specification (MOD-DHS) digitally signed</t>
  </si>
  <si>
    <r>
      <t xml:space="preserve">1 - 'Design &amp; Development Plan* (MOD-SDP) digitally signed
2 - 'Software Architecture* (MOD-SDD) digitally signed
3 - 'Automation/Host LIS interface Specifications (FL-SDP) digitally signed
4 - Other Output Documents (MOD-SDD) included Confidential Documents, Analyzer Specifications Checklist, Functional Detailed Documents, Software Language Translations, Installation Procedures if needed
5 - 'Safety Regression Analysis for safety fixes filled in on Jira tool within Root cause field
</t>
    </r>
    <r>
      <rPr>
        <sz val="8"/>
        <color rgb="FF333333"/>
        <rFont val="Montserrat"/>
      </rPr>
      <t xml:space="preserve">
</t>
    </r>
    <r>
      <rPr>
        <sz val="10"/>
        <color rgb="FF333333"/>
        <rFont val="Montserrat"/>
      </rPr>
      <t>*Deliverable complying, among others, also with standard IEC 62304</t>
    </r>
  </si>
  <si>
    <t>DEVELOPMENT TEAM
(HW, MCSW/SW)</t>
  </si>
  <si>
    <t>1 - Physical device assembly completion
2 - 'BOM in "APPROVED FOR HW TEST" status on EPDM
3 - 'VMP or other validation documentation completd and signed, according to PRO-00N procedure</t>
  </si>
  <si>
    <t>1 - Check that the content of SW Media has been appropriately loaded (Activity DONE - SW Engineer)
2 - Check that the content of SW Media has been appropriately loaded (Activity DONE - MCSW Engineer)
3 - Check that the content of SW Media has been appropriately loaded  (Activity DONE - HW Electrical Engineer)
4 - SW Artifact with its own P/N has been loaded on repository per Software Design &amp; Development Plan document.</t>
  </si>
  <si>
    <r>
      <t>1 - 'Technical issue list document* (MOD-JTIL) signed</t>
    </r>
    <r>
      <rPr>
        <sz val="8"/>
        <rFont val="Montserrat"/>
      </rPr>
      <t xml:space="preserve">
</t>
    </r>
    <r>
      <rPr>
        <sz val="10"/>
        <rFont val="Montserrat"/>
      </rPr>
      <t>2 - ' Preserie Issue List document loaded on SharePoint
3 - 'Evaluation if additional development/testing activities are required to fix the open bugs. Review the previous tasks status completion and potentially replan them with the team.
*Deliverable complying, among others, also with standard IEC 62304</t>
    </r>
  </si>
  <si>
    <t>DEVELOPMENT TEAM (TESTER)</t>
  </si>
  <si>
    <t>1 - Include in the "Execution Review" sheet under "Deliverable Check - update from previous Reviews" the list of updated deliverables fromn previous phases 
2- Fill in "Meeting Minutes" field in "Execution Review" any relevant information</t>
  </si>
  <si>
    <t>1 - Involved Tests (e.g. safety tests, EMC tests) successfully completed</t>
  </si>
  <si>
    <t>1  - all Stories are in DONE
2 - Bugs related to Stories not met have been opened</t>
  </si>
  <si>
    <t>1 - Fill the Product BOM cost information (Dynamics 365)
2- Fill in "Meeting Minutes" field in "Deployment Review" any relevant information</t>
  </si>
  <si>
    <t>1 - Planning the training content and coordinate department availability. (Project Manager)
2 - Prepare, conduct and register attendees on Inpeco Academy for the meeting (Development Team)
3 - Upload training session and questionnaires on Inpeco Academy
4 - Release Training Agenda (MOD-RTA) digitally signed</t>
  </si>
  <si>
    <t>1 -Translated Operations manual loaded on internal Inpeco repository (Sharepoint) - internal use only</t>
  </si>
  <si>
    <t>1 - Applicable Technical Files updated  (e.g. Reach/Rohs)</t>
  </si>
  <si>
    <t>Project Manager
Product Compliance
Regulatory Affairs
Medical Affairs</t>
  </si>
  <si>
    <t xml:space="preserve">1 - Assessment for issues safety, with direct impact on User Needs, with direct impact on Risks to be defined and included in "Deployment Review"
2 - Check that there are no Bug on Jira in "To Do" or "Analysis" </t>
  </si>
  <si>
    <t>1 - Include in the "Deployment Review" sheet under "Deliverable Check - update from previous Reviews" the list of updated deliverables fromn previous phases 
2- Fill in "Meeting Minutes" field in "Deployment Review" any relevant information</t>
  </si>
  <si>
    <t>1  Creation/Update of Performance Claim List document</t>
  </si>
  <si>
    <t>1 - Evaluate the need to updated the Risk Management Summary* (MOD-RMS). Document shall be reviewed at least once a year according to Risk Management Plan</t>
  </si>
  <si>
    <t>Are all risks final risk levels acceptable (i.e. Medium/Low)? (refer to Final Risk Evaluation)*</t>
  </si>
  <si>
    <t>1 - Analyzer Compatibility (MOD-AICOMP) updated</t>
  </si>
  <si>
    <t>1 - Quality marks achievement (e.g. cUs, Inmetro)
2 - Certifications reports approved and loaded on repository</t>
  </si>
  <si>
    <r>
      <t xml:space="preserve">Product Certificate or Reports
</t>
    </r>
    <r>
      <rPr>
        <sz val="10"/>
        <color theme="1"/>
        <rFont val="Montserrat"/>
      </rPr>
      <t>[Document uploaded]</t>
    </r>
  </si>
  <si>
    <t>1 - Update to Declaration of Conformities (e.g. Reach)</t>
  </si>
  <si>
    <t>1 - Creation/Update of Technical Data Sheet</t>
  </si>
  <si>
    <t>Commercial areas (Direct, Distributor, IVD Vendor)
Distributor
Innovation &amp; Customer Solution</t>
  </si>
  <si>
    <t>1 - Sharing of Project Package (SW/Independent release)
2 - Sharing of technical documentation</t>
  </si>
  <si>
    <t>PRODUCT MANAGER/
CUSTOMER SUCCESS</t>
  </si>
  <si>
    <t>1 - Training planned 
2- Once conducted, training records and questionnaires filled in</t>
  </si>
  <si>
    <t>1 - TSB / ISA approved and loaded on Service Portal</t>
  </si>
  <si>
    <t>CUT IN identified</t>
  </si>
  <si>
    <t>Report here the system (e.g. FLX.XXXX) - indicate it for all the Procuct Line</t>
  </si>
  <si>
    <t>1 - Cut-in defined, agreed and shared
2- Fill in "CUT IN identified" field in "Release to Market Review"</t>
  </si>
  <si>
    <r>
      <rPr>
        <b/>
        <sz val="10"/>
        <color rgb="FFEA8651"/>
        <rFont val="Montserrat"/>
      </rPr>
      <t xml:space="preserve">any other additional deliverable
</t>
    </r>
    <r>
      <rPr>
        <sz val="10"/>
        <color rgb="FFEA8651"/>
        <rFont val="Montserrat"/>
      </rPr>
      <t>[Document signed]</t>
    </r>
  </si>
  <si>
    <t>1 - Email to Inpeco stakeholders (e.g. DL-ReleaseNotice@inpeco.com) to inform Inpeco of the release</t>
  </si>
  <si>
    <r>
      <rPr>
        <b/>
        <sz val="10"/>
        <rFont val="Montserrat"/>
      </rPr>
      <t>Note:</t>
    </r>
    <r>
      <rPr>
        <sz val="10"/>
        <rFont val="Montserrat"/>
      </rPr>
      <t xml:space="preserve"> the complete document includes the following worksheets: Cover, </t>
    </r>
    <r>
      <rPr>
        <sz val="10"/>
        <color rgb="FFEA8651"/>
        <rFont val="Montserrat"/>
      </rPr>
      <t>Planning Review, Execution Review, Deployment Review, Release to Martket Review,  Action Items.</t>
    </r>
  </si>
  <si>
    <r>
      <rPr>
        <b/>
        <sz val="10"/>
        <color theme="1"/>
        <rFont val="Montserrat"/>
      </rPr>
      <t xml:space="preserve">Pre-Serie BOM Approved
</t>
    </r>
    <r>
      <rPr>
        <sz val="10"/>
        <color theme="1"/>
        <rFont val="Montserrat"/>
      </rPr>
      <t xml:space="preserve">[all the following points shall be in "Approved for Pre-Serie" status in EPDM:
• Pre-serie released Assembly codes
• Pre-serie released Mechanical bill of material
• Pre-serie released Electrical bill of material
• Pre-serie released Drawings (2-D and 3-D) of assembly and particulars (gates, tags and manifolds with grafoplast) that include indications for mounting and notes about the weight
• Pre-serie released Drawings with wiring diagrams
• Pre-serie released Product labels bill of material
• Drawings with pneumatic diagrams
• Configuration files of third party devices
• Custom indications for track cover and track panels
• Pre-serie dedicated upper cover
• Pre-serie dedicated lower panel
</t>
    </r>
    <r>
      <rPr>
        <sz val="10"/>
        <rFont val="Montserrat"/>
      </rPr>
      <t>• Installation Technical Specification</t>
    </r>
    <r>
      <rPr>
        <sz val="10"/>
        <color theme="1"/>
        <rFont val="Montserrat"/>
      </rPr>
      <t xml:space="preserve">
• Layout CAD Assembly Drawing
• Packaging]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</si>
</sst>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2">
    <font>
      <sz val="11"/>
      <color theme="1"/>
      <name val="Calibri"/>
      <family val="2"/>
      <scheme val="minor"/>
    </font>
    <font>
      <sz val="10"/>
      <color theme="1"/>
      <name val="Montserrat"/>
    </font>
    <font>
      <sz val="10"/>
      <name val="Arial"/>
      <family val="2"/>
    </font>
    <font>
      <sz val="10"/>
      <name val="Montserrat"/>
    </font>
    <font>
      <sz val="10"/>
      <color rgb="FFFF0000"/>
      <name val="Montserrat"/>
    </font>
    <font>
      <b/>
      <sz val="10"/>
      <name val="Montserrat"/>
    </font>
    <font>
      <b/>
      <sz val="10"/>
      <color rgb="FFFF0000"/>
      <name val="Montserrat"/>
    </font>
    <font>
      <sz val="10"/>
      <color rgb="FF000000"/>
      <name val="Montserrat"/>
    </font>
    <font>
      <vertAlign val="superscript"/>
      <sz val="10"/>
      <color rgb="FF000000"/>
      <name val="Montserrat"/>
    </font>
    <font>
      <b/>
      <sz val="11"/>
      <color theme="0"/>
      <name val="Montserrat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0"/>
      <name val="Monserrat"/>
    </font>
    <font>
      <sz val="11"/>
      <color theme="1"/>
      <name val="Montserrat"/>
    </font>
    <font>
      <b/>
      <sz val="14"/>
      <color theme="0"/>
      <name val="Montserrat"/>
    </font>
    <font>
      <sz val="11"/>
      <color rgb="FFFF0000"/>
      <name val="Montserrat"/>
    </font>
    <font>
      <sz val="11"/>
      <name val="Montserrat"/>
    </font>
    <font>
      <sz val="9"/>
      <color rgb="FF000000"/>
      <name val="Montserrat"/>
    </font>
    <font>
      <sz val="9"/>
      <name val="Montserrat"/>
    </font>
    <font>
      <sz val="9"/>
      <color rgb="FFEA8651"/>
      <name val="Montserrat"/>
    </font>
    <font>
      <sz val="10"/>
      <color rgb="FFEA8651"/>
      <name val="Montserrat"/>
    </font>
    <font>
      <b/>
      <sz val="10"/>
      <color theme="0"/>
      <name val="Montserrat"/>
    </font>
    <font>
      <b/>
      <sz val="11"/>
      <color rgb="FFEA8651"/>
      <name val="Montserrat"/>
    </font>
    <font>
      <b/>
      <sz val="10"/>
      <color rgb="FFEA8651"/>
      <name val="Montserrat"/>
    </font>
    <font>
      <sz val="11"/>
      <color rgb="FFEA8651"/>
      <name val="Montserrat"/>
    </font>
    <font>
      <sz val="8"/>
      <name val="Calibri"/>
      <family val="2"/>
      <scheme val="minor"/>
    </font>
    <font>
      <b/>
      <sz val="14"/>
      <name val="Montserrat"/>
    </font>
    <font>
      <b/>
      <sz val="10"/>
      <color theme="1"/>
      <name val="Montserrat"/>
    </font>
    <font>
      <sz val="8"/>
      <color theme="1"/>
      <name val="Montserrat"/>
    </font>
    <font>
      <b/>
      <sz val="14"/>
      <color theme="1"/>
      <name val="Montserrat"/>
    </font>
    <font>
      <sz val="14"/>
      <color theme="0"/>
      <name val="Calibri"/>
      <family val="2"/>
      <scheme val="minor"/>
    </font>
    <font>
      <sz val="11"/>
      <color theme="0"/>
      <name val="Montserrat"/>
    </font>
    <font>
      <strike/>
      <sz val="10"/>
      <color rgb="FFFF0000"/>
      <name val="Montserrat"/>
    </font>
    <font>
      <sz val="10"/>
      <color theme="0"/>
      <name val="Montserrat"/>
    </font>
    <font>
      <strike/>
      <sz val="10"/>
      <color theme="1"/>
      <name val="Montserrat"/>
    </font>
    <font>
      <sz val="9"/>
      <color theme="0"/>
      <name val="Montserrat"/>
    </font>
    <font>
      <sz val="10"/>
      <color theme="5"/>
      <name val="Montserrat"/>
    </font>
    <font>
      <sz val="8"/>
      <name val="Montserrat"/>
    </font>
    <font>
      <sz val="10"/>
      <color rgb="FF333333"/>
      <name val="Montserrat"/>
    </font>
    <font>
      <b/>
      <sz val="16"/>
      <color theme="1"/>
      <name val="Montserrat"/>
    </font>
    <font>
      <sz val="8"/>
      <color rgb="FF333333"/>
      <name val="Montserrat"/>
    </font>
    <font>
      <sz val="11"/>
      <color rgb="FF333333"/>
      <name val="Montserrat"/>
    </font>
  </fonts>
  <fills count="13">
    <fill>
      <patternFill patternType="none"/>
    </fill>
    <fill>
      <patternFill patternType="gray125"/>
    </fill>
    <fill>
      <patternFill patternType="solid">
        <fgColor rgb="FF00B4E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4A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A8651"/>
        <bgColor indexed="64"/>
      </patternFill>
    </fill>
  </fills>
  <borders count="1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B4E4"/>
      </left>
      <right style="thin">
        <color rgb="FF00B4E4"/>
      </right>
      <top style="thin">
        <color rgb="FF00B4E4"/>
      </top>
      <bottom style="thin">
        <color rgb="FF00B4E4"/>
      </bottom>
      <diagonal/>
    </border>
    <border>
      <left style="thin">
        <color rgb="FFDAD9D6"/>
      </left>
      <right style="thin">
        <color rgb="FFDAD9D6"/>
      </right>
      <top style="thin">
        <color rgb="FFDAD9D6"/>
      </top>
      <bottom style="thin">
        <color rgb="FFDAD9D6"/>
      </bottom>
      <diagonal/>
    </border>
    <border>
      <left style="thin">
        <color rgb="FFDAD9D6"/>
      </left>
      <right/>
      <top style="thin">
        <color rgb="FFDAD9D6"/>
      </top>
      <bottom style="thin">
        <color rgb="FFDAD9D6"/>
      </bottom>
      <diagonal/>
    </border>
    <border>
      <left/>
      <right/>
      <top style="thin">
        <color rgb="FFDAD9D6"/>
      </top>
      <bottom style="thin">
        <color rgb="FFDAD9D6"/>
      </bottom>
      <diagonal/>
    </border>
    <border>
      <left/>
      <right style="thin">
        <color rgb="FFDAD9D6"/>
      </right>
      <top style="thin">
        <color rgb="FFDAD9D6"/>
      </top>
      <bottom style="thin">
        <color rgb="FFDAD9D6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DAD9D6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AD9D6"/>
      </right>
      <top style="thin">
        <color rgb="FFDAD9D6"/>
      </top>
      <bottom/>
      <diagonal/>
    </border>
    <border>
      <left/>
      <right/>
      <top/>
      <bottom style="thin">
        <color rgb="FFDAD9D6"/>
      </bottom>
      <diagonal/>
    </border>
    <border>
      <left style="thin">
        <color rgb="FFDAD9D6"/>
      </left>
      <right/>
      <top/>
      <bottom style="thin">
        <color rgb="FFDAD9D6"/>
      </bottom>
      <diagonal/>
    </border>
    <border>
      <left/>
      <right style="thin">
        <color rgb="FFDAD9D6"/>
      </right>
      <top/>
      <bottom style="thin">
        <color rgb="FFDAD9D6"/>
      </bottom>
      <diagonal/>
    </border>
    <border>
      <left style="thin">
        <color rgb="FF00B4E4"/>
      </left>
      <right style="thin">
        <color theme="0"/>
      </right>
      <top style="thin">
        <color rgb="FF00B4E4"/>
      </top>
      <bottom style="thin">
        <color rgb="FF00B4E4"/>
      </bottom>
      <diagonal/>
    </border>
    <border>
      <left/>
      <right style="thin">
        <color rgb="FF00B4E4"/>
      </right>
      <top style="thin">
        <color rgb="FF00B4E4"/>
      </top>
      <bottom style="thin">
        <color rgb="FF00B4E4"/>
      </bottom>
      <diagonal/>
    </border>
    <border>
      <left/>
      <right style="thin">
        <color theme="0"/>
      </right>
      <top/>
      <bottom style="thin">
        <color rgb="FF00B4E4"/>
      </bottom>
      <diagonal/>
    </border>
    <border>
      <left style="thin">
        <color rgb="FF00B4E4"/>
      </left>
      <right style="thin">
        <color rgb="FF00B4E4"/>
      </right>
      <top style="thin">
        <color rgb="FF00B4E4"/>
      </top>
      <bottom style="thin">
        <color theme="0"/>
      </bottom>
      <diagonal/>
    </border>
    <border>
      <left style="thin">
        <color rgb="FF00B4E4"/>
      </left>
      <right style="thin">
        <color rgb="FF00B4E4"/>
      </right>
      <top/>
      <bottom style="thin">
        <color rgb="FF00B4E4"/>
      </bottom>
      <diagonal/>
    </border>
    <border>
      <left/>
      <right style="thin">
        <color rgb="FF00B4E4"/>
      </right>
      <top/>
      <bottom style="thin">
        <color rgb="FF00B4E4"/>
      </bottom>
      <diagonal/>
    </border>
    <border>
      <left style="thin">
        <color rgb="FF00B4E4"/>
      </left>
      <right style="thin">
        <color theme="0"/>
      </right>
      <top/>
      <bottom style="thin">
        <color rgb="FF00B4E4"/>
      </bottom>
      <diagonal/>
    </border>
    <border>
      <left style="thin">
        <color theme="0"/>
      </left>
      <right style="thin">
        <color rgb="FF00B4E4"/>
      </right>
      <top style="thin">
        <color theme="0"/>
      </top>
      <bottom style="thin">
        <color rgb="FF00B4E4"/>
      </bottom>
      <diagonal/>
    </border>
    <border>
      <left style="thin">
        <color rgb="FF00B4E4"/>
      </left>
      <right style="thin">
        <color theme="0"/>
      </right>
      <top style="thin">
        <color theme="0"/>
      </top>
      <bottom style="thin">
        <color rgb="FF00B4E4"/>
      </bottom>
      <diagonal/>
    </border>
    <border>
      <left style="thin">
        <color rgb="FF00B4E4"/>
      </left>
      <right/>
      <top style="thin">
        <color rgb="FF00B4E4"/>
      </top>
      <bottom/>
      <diagonal/>
    </border>
    <border>
      <left/>
      <right/>
      <top style="thin">
        <color rgb="FF00B4E4"/>
      </top>
      <bottom/>
      <diagonal/>
    </border>
    <border>
      <left/>
      <right style="thin">
        <color rgb="FF00B4E4"/>
      </right>
      <top style="thin">
        <color rgb="FF00B4E4"/>
      </top>
      <bottom/>
      <diagonal/>
    </border>
    <border>
      <left style="thin">
        <color rgb="FF00B4E4"/>
      </left>
      <right/>
      <top/>
      <bottom style="thin">
        <color rgb="FF00B4E4"/>
      </bottom>
      <diagonal/>
    </border>
    <border>
      <left/>
      <right/>
      <top/>
      <bottom style="thin">
        <color rgb="FF00B4E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rgb="FF00B4E4"/>
      </left>
      <right style="thin">
        <color rgb="FFDAD9D6"/>
      </right>
      <top style="thin">
        <color rgb="FF00B4E4"/>
      </top>
      <bottom style="thin">
        <color theme="0"/>
      </bottom>
      <diagonal/>
    </border>
    <border>
      <left style="thin">
        <color rgb="FFDAD9D6"/>
      </left>
      <right style="thin">
        <color rgb="FFDAD9D6"/>
      </right>
      <top style="thin">
        <color rgb="FF00B4E4"/>
      </top>
      <bottom style="thin">
        <color theme="0"/>
      </bottom>
      <diagonal/>
    </border>
    <border>
      <left style="thin">
        <color rgb="FFDAD9D6"/>
      </left>
      <right style="thin">
        <color rgb="FF00B4E4"/>
      </right>
      <top style="thin">
        <color rgb="FF00B4E4"/>
      </top>
      <bottom style="thin">
        <color theme="0"/>
      </bottom>
      <diagonal/>
    </border>
    <border>
      <left style="thin">
        <color rgb="FF00B4E4"/>
      </left>
      <right style="thin">
        <color theme="0"/>
      </right>
      <top style="thin">
        <color theme="0"/>
      </top>
      <bottom/>
      <diagonal/>
    </border>
    <border>
      <left/>
      <right style="thin">
        <color rgb="FF00B4E4"/>
      </right>
      <top/>
      <bottom/>
      <diagonal/>
    </border>
    <border>
      <left/>
      <right style="thin">
        <color rgb="FFDAD9D6"/>
      </right>
      <top/>
      <bottom/>
      <diagonal/>
    </border>
    <border>
      <left style="thin">
        <color rgb="FF00B4E4"/>
      </left>
      <right/>
      <top style="thin">
        <color rgb="FF00B4E4"/>
      </top>
      <bottom style="thin">
        <color rgb="FF00B4E4"/>
      </bottom>
      <diagonal/>
    </border>
    <border>
      <left/>
      <right/>
      <top style="thin">
        <color rgb="FF00B4E4"/>
      </top>
      <bottom style="thin">
        <color rgb="FF00B4E4"/>
      </bottom>
      <diagonal/>
    </border>
    <border>
      <left style="thin">
        <color rgb="FF00B4E4"/>
      </left>
      <right style="thin">
        <color rgb="FF00B4E4"/>
      </right>
      <top style="thin">
        <color rgb="FF00B4E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rgb="FF00B4E4"/>
      </left>
      <right/>
      <top style="thin">
        <color rgb="FF00B4E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B4E4"/>
      </top>
      <bottom style="thin">
        <color theme="0"/>
      </bottom>
      <diagonal/>
    </border>
    <border>
      <left style="thin">
        <color theme="0"/>
      </left>
      <right style="thin">
        <color rgb="FF00B4E4"/>
      </right>
      <top style="thin">
        <color rgb="FF00B4E4"/>
      </top>
      <bottom style="thin">
        <color theme="0"/>
      </bottom>
      <diagonal/>
    </border>
    <border>
      <left style="thin">
        <color rgb="FF00B4E4"/>
      </left>
      <right style="thin">
        <color theme="0"/>
      </right>
      <top style="thin">
        <color rgb="FF00B4E4"/>
      </top>
      <bottom style="thin">
        <color theme="0"/>
      </bottom>
      <diagonal/>
    </border>
    <border>
      <left style="thin">
        <color rgb="FFDAD9D6"/>
      </left>
      <right style="thin">
        <color rgb="FFDAD9D6"/>
      </right>
      <top style="thin">
        <color rgb="FFDAD9D6"/>
      </top>
      <bottom/>
      <diagonal/>
    </border>
    <border>
      <left style="thin">
        <color rgb="FF00B4E4"/>
      </left>
      <right/>
      <top style="thin">
        <color rgb="FF00B4E4"/>
      </top>
      <bottom style="thin">
        <color rgb="FFDAD9D6"/>
      </bottom>
      <diagonal/>
    </border>
    <border>
      <left/>
      <right/>
      <top style="thin">
        <color rgb="FF00B4E4"/>
      </top>
      <bottom style="thin">
        <color rgb="FFDAD9D6"/>
      </bottom>
      <diagonal/>
    </border>
    <border>
      <left style="thin">
        <color theme="0"/>
      </left>
      <right/>
      <top style="thin">
        <color rgb="FF00B4E4"/>
      </top>
      <bottom style="thin">
        <color rgb="FFDAD9D6"/>
      </bottom>
      <diagonal/>
    </border>
    <border>
      <left/>
      <right style="thin">
        <color rgb="FF00B4E4"/>
      </right>
      <top style="thin">
        <color rgb="FF00B4E4"/>
      </top>
      <bottom style="thin">
        <color rgb="FFDAD9D6"/>
      </bottom>
      <diagonal/>
    </border>
    <border>
      <left style="thin">
        <color rgb="FF00B4E4"/>
      </left>
      <right/>
      <top style="thin">
        <color rgb="FFDAD9D6"/>
      </top>
      <bottom style="thin">
        <color rgb="FF00B4E4"/>
      </bottom>
      <diagonal/>
    </border>
    <border>
      <left/>
      <right/>
      <top style="thin">
        <color rgb="FFDAD9D6"/>
      </top>
      <bottom style="thin">
        <color rgb="FF00B4E4"/>
      </bottom>
      <diagonal/>
    </border>
    <border>
      <left style="thin">
        <color rgb="FF00B4E4"/>
      </left>
      <right style="thin">
        <color rgb="FFDAD9D6"/>
      </right>
      <top style="thin">
        <color rgb="FF00B4E4"/>
      </top>
      <bottom style="thin">
        <color rgb="FFDAD9D6"/>
      </bottom>
      <diagonal/>
    </border>
    <border>
      <left style="thin">
        <color rgb="FFDAD9D6"/>
      </left>
      <right style="thin">
        <color rgb="FFDAD9D6"/>
      </right>
      <top style="thin">
        <color rgb="FF00B4E4"/>
      </top>
      <bottom style="thin">
        <color rgb="FFDAD9D6"/>
      </bottom>
      <diagonal/>
    </border>
    <border>
      <left style="thin">
        <color rgb="FFDAD9D6"/>
      </left>
      <right style="thin">
        <color rgb="FF00B4E4"/>
      </right>
      <top style="thin">
        <color rgb="FF00B4E4"/>
      </top>
      <bottom style="thin">
        <color rgb="FFDAD9D6"/>
      </bottom>
      <diagonal/>
    </border>
    <border>
      <left style="thin">
        <color rgb="FF00B4E4"/>
      </left>
      <right/>
      <top style="thin">
        <color rgb="FFDAD9D6"/>
      </top>
      <bottom style="thin">
        <color rgb="FFDAD9D6"/>
      </bottom>
      <diagonal/>
    </border>
    <border>
      <left/>
      <right style="thin">
        <color rgb="FF00B4E4"/>
      </right>
      <top style="thin">
        <color rgb="FFDAD9D6"/>
      </top>
      <bottom style="thin">
        <color rgb="FFDAD9D6"/>
      </bottom>
      <diagonal/>
    </border>
    <border>
      <left/>
      <right style="thin">
        <color rgb="FFDAD9D6"/>
      </right>
      <top style="thin">
        <color rgb="FFDAD9D6"/>
      </top>
      <bottom style="thin">
        <color rgb="FF00B4E4"/>
      </bottom>
      <diagonal/>
    </border>
    <border>
      <left style="thin">
        <color rgb="FFDAD9D6"/>
      </left>
      <right/>
      <top style="thin">
        <color rgb="FFDAD9D6"/>
      </top>
      <bottom style="thin">
        <color rgb="FF00B4E4"/>
      </bottom>
      <diagonal/>
    </border>
    <border>
      <left/>
      <right style="thin">
        <color rgb="FF00B4E4"/>
      </right>
      <top style="thin">
        <color rgb="FFDAD9D6"/>
      </top>
      <bottom style="thin">
        <color rgb="FF00B4E4"/>
      </bottom>
      <diagonal/>
    </border>
    <border>
      <left style="thin">
        <color rgb="FF00B4E4"/>
      </left>
      <right/>
      <top/>
      <bottom style="thin">
        <color rgb="FFDAD9D6"/>
      </bottom>
      <diagonal/>
    </border>
    <border>
      <left/>
      <right style="thin">
        <color rgb="FF00B4E4"/>
      </right>
      <top/>
      <bottom style="thin">
        <color rgb="FFDAD9D6"/>
      </bottom>
      <diagonal/>
    </border>
    <border>
      <left style="thin">
        <color rgb="FF00B4E4"/>
      </left>
      <right style="thin">
        <color rgb="FFDAD9D6"/>
      </right>
      <top style="thin">
        <color rgb="FFDAD9D6"/>
      </top>
      <bottom style="thin">
        <color rgb="FFDAD9D6"/>
      </bottom>
      <diagonal/>
    </border>
    <border>
      <left style="thin">
        <color rgb="FF00B4E4"/>
      </left>
      <right style="thin">
        <color rgb="FFDAD9D6"/>
      </right>
      <top style="thin">
        <color rgb="FFDAD9D6"/>
      </top>
      <bottom/>
      <diagonal/>
    </border>
    <border>
      <left style="thin">
        <color rgb="FFDAD9D6"/>
      </left>
      <right style="thin">
        <color rgb="FF00B4E4"/>
      </right>
      <top style="thin">
        <color rgb="FFDAD9D6"/>
      </top>
      <bottom/>
      <diagonal/>
    </border>
    <border>
      <left style="thin">
        <color rgb="FF00B4E4"/>
      </left>
      <right style="thin">
        <color rgb="FFDAD9D6"/>
      </right>
      <top style="thin">
        <color rgb="FF00B4E4"/>
      </top>
      <bottom style="thin">
        <color rgb="FF00B4E4"/>
      </bottom>
      <diagonal/>
    </border>
    <border>
      <left style="thin">
        <color rgb="FFDAD9D6"/>
      </left>
      <right style="thin">
        <color rgb="FFDAD9D6"/>
      </right>
      <top style="thin">
        <color rgb="FF00B4E4"/>
      </top>
      <bottom style="thin">
        <color rgb="FF00B4E4"/>
      </bottom>
      <diagonal/>
    </border>
    <border>
      <left style="thin">
        <color rgb="FFDAD9D6"/>
      </left>
      <right style="thin">
        <color rgb="FF00B4E4"/>
      </right>
      <top style="thin">
        <color rgb="FF00B4E4"/>
      </top>
      <bottom style="thin">
        <color rgb="FF00B4E4"/>
      </bottom>
      <diagonal/>
    </border>
    <border>
      <left style="thin">
        <color rgb="FF00B4E4"/>
      </left>
      <right/>
      <top/>
      <bottom/>
      <diagonal/>
    </border>
    <border>
      <left style="thin">
        <color rgb="FF00B4E4"/>
      </left>
      <right style="thin">
        <color rgb="FFDAD9D6"/>
      </right>
      <top style="thin">
        <color rgb="FF00B4E4"/>
      </top>
      <bottom/>
      <diagonal/>
    </border>
    <border>
      <left style="thin">
        <color rgb="FFDAD9D6"/>
      </left>
      <right style="thin">
        <color rgb="FFDAD9D6"/>
      </right>
      <top style="thin">
        <color rgb="FF00B4E4"/>
      </top>
      <bottom/>
      <diagonal/>
    </border>
    <border>
      <left style="thin">
        <color rgb="FFDAD9D6"/>
      </left>
      <right style="thin">
        <color rgb="FF00B4E4"/>
      </right>
      <top style="thin">
        <color rgb="FF00B4E4"/>
      </top>
      <bottom/>
      <diagonal/>
    </border>
    <border>
      <left/>
      <right style="thin">
        <color theme="0"/>
      </right>
      <top style="thin">
        <color rgb="FF00B4E4"/>
      </top>
      <bottom style="thin">
        <color rgb="FF00B4E4"/>
      </bottom>
      <diagonal/>
    </border>
    <border>
      <left style="thin">
        <color theme="0"/>
      </left>
      <right/>
      <top/>
      <bottom/>
      <diagonal/>
    </border>
    <border>
      <left style="thin">
        <color rgb="FFDAD9D6"/>
      </left>
      <right/>
      <top/>
      <bottom/>
      <diagonal/>
    </border>
    <border>
      <left style="thin">
        <color rgb="FF00B4E4"/>
      </left>
      <right/>
      <top style="thin">
        <color rgb="FFDAD9D6"/>
      </top>
      <bottom/>
      <diagonal/>
    </border>
    <border>
      <left/>
      <right style="thin">
        <color theme="0" tint="-0.14999847407452621"/>
      </right>
      <top style="thin">
        <color rgb="FFDAD9D6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rgb="FF00B4E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B4E4"/>
      </left>
      <right/>
      <top style="thin">
        <color theme="0" tint="-0.14999847407452621"/>
      </top>
      <bottom/>
      <diagonal/>
    </border>
    <border>
      <left style="thin">
        <color rgb="FFDAD9D6"/>
      </left>
      <right/>
      <top style="thin">
        <color rgb="FFDAD9D6"/>
      </top>
      <bottom/>
      <diagonal/>
    </border>
    <border>
      <left style="thin">
        <color rgb="FFDAD9D6"/>
      </left>
      <right style="thin">
        <color rgb="FF00B4E4"/>
      </right>
      <top style="thin">
        <color rgb="FFDAD9D6"/>
      </top>
      <bottom style="thin">
        <color rgb="FFDAD9D6"/>
      </bottom>
      <diagonal/>
    </border>
    <border>
      <left/>
      <right style="thin">
        <color rgb="FF00B4E4"/>
      </right>
      <top style="thin">
        <color rgb="FFDAD9D6"/>
      </top>
      <bottom/>
      <diagonal/>
    </border>
    <border>
      <left/>
      <right style="thin">
        <color rgb="FFDAD9D6"/>
      </right>
      <top style="thin">
        <color rgb="FF00B4E4"/>
      </top>
      <bottom style="thin">
        <color rgb="FF00B4E4"/>
      </bottom>
      <diagonal/>
    </border>
    <border>
      <left style="thin">
        <color rgb="FFDAD9D6"/>
      </left>
      <right style="thin">
        <color rgb="FFDAD9D6"/>
      </right>
      <top/>
      <bottom/>
      <diagonal/>
    </border>
    <border>
      <left style="thin">
        <color rgb="FFDAD9D6"/>
      </left>
      <right style="thin">
        <color rgb="FFDAD9D6"/>
      </right>
      <top/>
      <bottom style="thin">
        <color rgb="FF00B4E4"/>
      </bottom>
      <diagonal/>
    </border>
    <border>
      <left style="thin">
        <color rgb="FFDAD9D6"/>
      </left>
      <right style="thin">
        <color rgb="FF00B4E4"/>
      </right>
      <top/>
      <bottom style="thin">
        <color rgb="FF00B4E4"/>
      </bottom>
      <diagonal/>
    </border>
    <border>
      <left/>
      <right/>
      <top/>
      <bottom style="thin">
        <color theme="0"/>
      </bottom>
      <diagonal/>
    </border>
    <border>
      <left style="thin">
        <color rgb="FF00B4E4"/>
      </left>
      <right style="thin">
        <color rgb="FFDAD9D6"/>
      </right>
      <top/>
      <bottom/>
      <diagonal/>
    </border>
    <border>
      <left/>
      <right/>
      <top style="thin">
        <color rgb="FF00B4E4"/>
      </top>
      <bottom style="thin">
        <color theme="0"/>
      </bottom>
      <diagonal/>
    </border>
    <border>
      <left style="thin">
        <color rgb="FF00B4E4"/>
      </left>
      <right/>
      <top/>
      <bottom style="thin">
        <color theme="0"/>
      </bottom>
      <diagonal/>
    </border>
    <border>
      <left style="thin">
        <color rgb="FF00B4E4"/>
      </left>
      <right/>
      <top style="thin">
        <color theme="0"/>
      </top>
      <bottom style="thin">
        <color rgb="FF00B4E4"/>
      </bottom>
      <diagonal/>
    </border>
    <border>
      <left/>
      <right/>
      <top style="thin">
        <color theme="0"/>
      </top>
      <bottom style="thin">
        <color rgb="FF00B4E4"/>
      </bottom>
      <diagonal/>
    </border>
    <border>
      <left/>
      <right style="thin">
        <color rgb="FF00B4E4"/>
      </right>
      <top style="thin">
        <color rgb="FF00B4E4"/>
      </top>
      <bottom style="thin">
        <color theme="0"/>
      </bottom>
      <diagonal/>
    </border>
    <border>
      <left style="thin">
        <color rgb="FF00B4E4"/>
      </left>
      <right/>
      <top style="thin">
        <color theme="0"/>
      </top>
      <bottom style="thin">
        <color theme="0"/>
      </bottom>
      <diagonal/>
    </border>
    <border>
      <left/>
      <right style="thin">
        <color rgb="FF00B4E4"/>
      </right>
      <top style="thin">
        <color theme="0"/>
      </top>
      <bottom style="thin">
        <color theme="0"/>
      </bottom>
      <diagonal/>
    </border>
    <border>
      <left/>
      <right style="thin">
        <color rgb="FF00B4E4"/>
      </right>
      <top style="thin">
        <color theme="0"/>
      </top>
      <bottom style="thin">
        <color rgb="FF00B4E4"/>
      </bottom>
      <diagonal/>
    </border>
    <border>
      <left/>
      <right style="thin">
        <color rgb="FF00B4E4"/>
      </right>
      <top/>
      <bottom style="thin">
        <color theme="0"/>
      </bottom>
      <diagonal/>
    </border>
    <border>
      <left style="thin">
        <color rgb="FFDAD9D6"/>
      </left>
      <right/>
      <top/>
      <bottom style="thin">
        <color rgb="FF00B4E4"/>
      </bottom>
      <diagonal/>
    </border>
    <border>
      <left/>
      <right style="thin">
        <color theme="0" tint="-0.14999847407452621"/>
      </right>
      <top style="thin">
        <color rgb="FFDAD9D6"/>
      </top>
      <bottom style="thin">
        <color rgb="FF00B4E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B4E4"/>
      </left>
      <right style="thin">
        <color rgb="FFDAD9D6"/>
      </right>
      <top style="thin">
        <color rgb="FFDAD9D6"/>
      </top>
      <bottom style="thin">
        <color rgb="FF00B4E4"/>
      </bottom>
      <diagonal/>
    </border>
    <border>
      <left style="thin">
        <color rgb="FFDAD9D6"/>
      </left>
      <right style="thin">
        <color rgb="FFDAD9D6"/>
      </right>
      <top style="thin">
        <color rgb="FFDAD9D6"/>
      </top>
      <bottom style="thin">
        <color rgb="FF00B4E4"/>
      </bottom>
      <diagonal/>
    </border>
  </borders>
  <cellStyleXfs count="5">
    <xf numFmtId="0" fontId="0" fillId="0" borderId="0"/>
    <xf numFmtId="0" fontId="2" fillId="0" borderId="0"/>
    <xf numFmtId="0" fontId="10" fillId="0" borderId="0"/>
    <xf numFmtId="0" fontId="10" fillId="0" borderId="0"/>
    <xf numFmtId="0" fontId="10" fillId="0" borderId="0"/>
  </cellStyleXfs>
  <cellXfs count="52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3" borderId="0" xfId="0" applyFont="1" applyFill="1"/>
    <xf numFmtId="0" fontId="3" fillId="3" borderId="0" xfId="1" applyFont="1" applyFill="1" applyAlignment="1">
      <alignment vertical="center"/>
    </xf>
    <xf numFmtId="0" fontId="3" fillId="3" borderId="0" xfId="1" applyFont="1" applyFill="1"/>
    <xf numFmtId="0" fontId="7" fillId="3" borderId="0" xfId="0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" fillId="3" borderId="0" xfId="1" applyFont="1" applyFill="1" applyAlignment="1">
      <alignment horizontal="center" vertical="center"/>
    </xf>
    <xf numFmtId="0" fontId="8" fillId="3" borderId="0" xfId="0" applyFont="1" applyFill="1"/>
    <xf numFmtId="0" fontId="5" fillId="3" borderId="0" xfId="1" applyFont="1" applyFill="1"/>
    <xf numFmtId="0" fontId="3" fillId="3" borderId="0" xfId="1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3" fillId="3" borderId="0" xfId="0" applyFont="1" applyFill="1"/>
    <xf numFmtId="0" fontId="3" fillId="3" borderId="22" xfId="0" applyFont="1" applyFill="1" applyBorder="1"/>
    <xf numFmtId="0" fontId="20" fillId="0" borderId="5" xfId="1" applyFont="1" applyBorder="1" applyAlignment="1">
      <alignment horizontal="center" vertical="center"/>
    </xf>
    <xf numFmtId="0" fontId="21" fillId="2" borderId="26" xfId="1" applyFont="1" applyFill="1" applyBorder="1" applyAlignment="1">
      <alignment horizontal="center" vertical="center"/>
    </xf>
    <xf numFmtId="0" fontId="1" fillId="0" borderId="5" xfId="0" applyFont="1" applyBorder="1"/>
    <xf numFmtId="0" fontId="11" fillId="2" borderId="34" xfId="3" applyFont="1" applyFill="1" applyBorder="1" applyAlignment="1" applyProtection="1">
      <alignment horizontal="left" vertical="center" wrapText="1"/>
      <protection locked="0"/>
    </xf>
    <xf numFmtId="0" fontId="11" fillId="2" borderId="0" xfId="3" applyFont="1" applyFill="1" applyAlignment="1" applyProtection="1">
      <alignment horizontal="left" vertical="center" wrapText="1"/>
      <protection locked="0"/>
    </xf>
    <xf numFmtId="0" fontId="11" fillId="2" borderId="35" xfId="3" applyFont="1" applyFill="1" applyBorder="1" applyAlignment="1" applyProtection="1">
      <alignment horizontal="left" vertical="center" wrapText="1"/>
      <protection locked="0"/>
    </xf>
    <xf numFmtId="0" fontId="11" fillId="2" borderId="39" xfId="3" applyFont="1" applyFill="1" applyBorder="1" applyAlignment="1" applyProtection="1">
      <alignment horizontal="center" vertical="center" wrapText="1"/>
      <protection locked="0"/>
    </xf>
    <xf numFmtId="0" fontId="11" fillId="2" borderId="40" xfId="3" applyFont="1" applyFill="1" applyBorder="1" applyAlignment="1" applyProtection="1">
      <alignment horizontal="left" vertical="center" wrapText="1"/>
      <protection locked="0"/>
    </xf>
    <xf numFmtId="0" fontId="1" fillId="0" borderId="0" xfId="0" applyFont="1" applyAlignment="1">
      <alignment vertical="center" wrapText="1"/>
    </xf>
    <xf numFmtId="0" fontId="9" fillId="2" borderId="1" xfId="4" applyFont="1" applyFill="1" applyBorder="1" applyAlignment="1" applyProtection="1">
      <alignment horizontal="left" vertical="center" wrapText="1"/>
      <protection locked="0"/>
    </xf>
    <xf numFmtId="0" fontId="13" fillId="0" borderId="0" xfId="0" applyFont="1"/>
    <xf numFmtId="0" fontId="5" fillId="0" borderId="10" xfId="4" applyFont="1" applyBorder="1" applyAlignment="1" applyProtection="1">
      <alignment vertical="center" wrapText="1"/>
      <protection locked="0"/>
    </xf>
    <xf numFmtId="0" fontId="1" fillId="0" borderId="10" xfId="3" applyFont="1" applyBorder="1" applyAlignment="1" applyProtection="1">
      <alignment horizontal="left" vertical="center" wrapText="1"/>
      <protection locked="0"/>
    </xf>
    <xf numFmtId="0" fontId="1" fillId="0" borderId="10" xfId="4" applyFont="1" applyBorder="1" applyAlignment="1" applyProtection="1">
      <alignment horizontal="left" vertical="center" wrapText="1"/>
      <protection locked="0"/>
    </xf>
    <xf numFmtId="0" fontId="1" fillId="0" borderId="0" xfId="4" applyFont="1" applyAlignment="1" applyProtection="1">
      <alignment vertical="center" wrapText="1"/>
      <protection locked="0"/>
    </xf>
    <xf numFmtId="0" fontId="3" fillId="3" borderId="4" xfId="4" applyFont="1" applyFill="1" applyBorder="1" applyAlignment="1" applyProtection="1">
      <alignment horizontal="left" vertical="center" wrapText="1"/>
      <protection locked="0"/>
    </xf>
    <xf numFmtId="0" fontId="1" fillId="0" borderId="4" xfId="4" quotePrefix="1" applyFont="1" applyBorder="1" applyAlignment="1" applyProtection="1">
      <alignment horizontal="left" vertical="center" wrapText="1"/>
      <protection locked="0"/>
    </xf>
    <xf numFmtId="0" fontId="1" fillId="3" borderId="4" xfId="4" quotePrefix="1" applyFont="1" applyFill="1" applyBorder="1" applyAlignment="1" applyProtection="1">
      <alignment horizontal="left" vertical="center" wrapText="1"/>
      <protection locked="0"/>
    </xf>
    <xf numFmtId="0" fontId="3" fillId="0" borderId="4" xfId="4" quotePrefix="1" applyFont="1" applyBorder="1" applyAlignment="1" applyProtection="1">
      <alignment horizontal="left" vertical="center" wrapText="1"/>
      <protection locked="0"/>
    </xf>
    <xf numFmtId="0" fontId="1" fillId="3" borderId="4" xfId="4" applyFont="1" applyFill="1" applyBorder="1" applyAlignment="1" applyProtection="1">
      <alignment horizontal="left" vertical="center" wrapText="1"/>
      <protection locked="0"/>
    </xf>
    <xf numFmtId="0" fontId="1" fillId="0" borderId="4" xfId="4" applyFont="1" applyBorder="1" applyAlignment="1" applyProtection="1">
      <alignment horizontal="left" vertical="center" wrapText="1"/>
      <protection locked="0"/>
    </xf>
    <xf numFmtId="0" fontId="1" fillId="0" borderId="3" xfId="4" applyFont="1" applyBorder="1" applyAlignment="1" applyProtection="1">
      <alignment horizontal="left" vertical="center" wrapText="1"/>
      <protection locked="0"/>
    </xf>
    <xf numFmtId="0" fontId="27" fillId="0" borderId="4" xfId="4" applyFont="1" applyBorder="1" applyAlignment="1" applyProtection="1">
      <alignment vertical="center" wrapText="1"/>
      <protection locked="0"/>
    </xf>
    <xf numFmtId="0" fontId="1" fillId="0" borderId="4" xfId="3" applyFont="1" applyBorder="1" applyAlignment="1" applyProtection="1">
      <alignment horizontal="left" vertical="center" wrapText="1"/>
      <protection locked="0"/>
    </xf>
    <xf numFmtId="0" fontId="3" fillId="0" borderId="4" xfId="4" applyFont="1" applyBorder="1" applyAlignment="1" applyProtection="1">
      <alignment horizontal="left" vertical="center" wrapText="1"/>
      <protection locked="0"/>
    </xf>
    <xf numFmtId="0" fontId="27" fillId="6" borderId="3" xfId="4" applyFont="1" applyFill="1" applyBorder="1" applyAlignment="1" applyProtection="1">
      <alignment horizontal="center" vertical="center" wrapText="1"/>
      <protection locked="0"/>
    </xf>
    <xf numFmtId="0" fontId="3" fillId="0" borderId="3" xfId="4" applyFont="1" applyBorder="1" applyAlignment="1" applyProtection="1">
      <alignment horizontal="left" vertical="center" wrapText="1"/>
      <protection locked="0"/>
    </xf>
    <xf numFmtId="0" fontId="27" fillId="3" borderId="4" xfId="4" applyFont="1" applyFill="1" applyBorder="1" applyAlignment="1" applyProtection="1">
      <alignment vertical="center" wrapText="1"/>
      <protection locked="0"/>
    </xf>
    <xf numFmtId="0" fontId="1" fillId="3" borderId="4" xfId="3" applyFont="1" applyFill="1" applyBorder="1" applyAlignment="1" applyProtection="1">
      <alignment horizontal="left" vertical="center" wrapText="1"/>
      <protection locked="0"/>
    </xf>
    <xf numFmtId="0" fontId="5" fillId="0" borderId="4" xfId="4" applyFont="1" applyBorder="1" applyAlignment="1" applyProtection="1">
      <alignment vertical="center" wrapText="1"/>
      <protection locked="0"/>
    </xf>
    <xf numFmtId="0" fontId="1" fillId="0" borderId="12" xfId="4" quotePrefix="1" applyFont="1" applyBorder="1" applyAlignment="1" applyProtection="1">
      <alignment horizontal="left" vertical="center" wrapText="1"/>
      <protection locked="0"/>
    </xf>
    <xf numFmtId="0" fontId="1" fillId="0" borderId="4" xfId="3" quotePrefix="1" applyFont="1" applyBorder="1" applyAlignment="1" applyProtection="1">
      <alignment horizontal="left" vertical="center" wrapText="1"/>
      <protection locked="0"/>
    </xf>
    <xf numFmtId="0" fontId="27" fillId="0" borderId="4" xfId="3" applyFont="1" applyBorder="1" applyAlignment="1" applyProtection="1">
      <alignment vertical="center" wrapText="1"/>
      <protection locked="0"/>
    </xf>
    <xf numFmtId="0" fontId="1" fillId="0" borderId="12" xfId="4" applyFont="1" applyBorder="1" applyAlignment="1" applyProtection="1">
      <alignment horizontal="left" vertical="center" wrapText="1"/>
      <protection locked="0"/>
    </xf>
    <xf numFmtId="0" fontId="3" fillId="0" borderId="4" xfId="3" applyFont="1" applyBorder="1" applyAlignment="1" applyProtection="1">
      <alignment horizontal="left" vertical="center" wrapText="1"/>
      <protection locked="0"/>
    </xf>
    <xf numFmtId="0" fontId="3" fillId="3" borderId="4" xfId="4" quotePrefix="1" applyFont="1" applyFill="1" applyBorder="1" applyAlignment="1" applyProtection="1">
      <alignment horizontal="left" vertical="center" wrapText="1"/>
      <protection locked="0"/>
    </xf>
    <xf numFmtId="0" fontId="5" fillId="4" borderId="4" xfId="3" applyFont="1" applyFill="1" applyBorder="1" applyAlignment="1" applyProtection="1">
      <alignment horizontal="center" vertical="center" wrapText="1"/>
      <protection locked="0"/>
    </xf>
    <xf numFmtId="2" fontId="1" fillId="0" borderId="4" xfId="3" applyNumberFormat="1" applyFont="1" applyBorder="1" applyAlignment="1" applyProtection="1">
      <alignment horizontal="left" vertical="center" wrapText="1"/>
      <protection locked="0"/>
    </xf>
    <xf numFmtId="0" fontId="1" fillId="0" borderId="12" xfId="3" applyFont="1" applyBorder="1" applyAlignment="1" applyProtection="1">
      <alignment horizontal="left" vertical="center" wrapText="1"/>
      <protection locked="0"/>
    </xf>
    <xf numFmtId="0" fontId="27" fillId="7" borderId="4" xfId="3" applyFont="1" applyFill="1" applyBorder="1" applyAlignment="1" applyProtection="1">
      <alignment horizontal="center" vertical="center" wrapText="1"/>
      <protection locked="0"/>
    </xf>
    <xf numFmtId="0" fontId="27" fillId="0" borderId="4" xfId="4" quotePrefix="1" applyFont="1" applyBorder="1" applyAlignment="1" applyProtection="1">
      <alignment horizontal="left" vertical="center" wrapText="1"/>
      <protection locked="0"/>
    </xf>
    <xf numFmtId="0" fontId="5" fillId="0" borderId="12" xfId="3" applyFont="1" applyBorder="1" applyAlignment="1" applyProtection="1">
      <alignment vertical="center" wrapText="1"/>
      <protection locked="0"/>
    </xf>
    <xf numFmtId="0" fontId="13" fillId="0" borderId="0" xfId="0" applyFont="1" applyAlignment="1">
      <alignment horizontal="left"/>
    </xf>
    <xf numFmtId="0" fontId="3" fillId="3" borderId="42" xfId="1" applyFont="1" applyFill="1" applyBorder="1" applyAlignment="1">
      <alignment horizontal="center" vertical="center" wrapText="1"/>
    </xf>
    <xf numFmtId="0" fontId="3" fillId="3" borderId="43" xfId="1" applyFont="1" applyFill="1" applyBorder="1" applyAlignment="1">
      <alignment horizontal="center" vertical="center" wrapText="1"/>
    </xf>
    <xf numFmtId="0" fontId="3" fillId="3" borderId="21" xfId="1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1" fillId="2" borderId="45" xfId="3" applyFont="1" applyFill="1" applyBorder="1" applyAlignment="1" applyProtection="1">
      <alignment horizontal="center" vertical="center" wrapText="1"/>
      <protection locked="0"/>
    </xf>
    <xf numFmtId="0" fontId="11" fillId="2" borderId="46" xfId="3" applyFont="1" applyFill="1" applyBorder="1" applyAlignment="1" applyProtection="1">
      <alignment horizontal="left" vertical="center" wrapText="1"/>
      <protection locked="0"/>
    </xf>
    <xf numFmtId="0" fontId="11" fillId="2" borderId="45" xfId="3" applyFont="1" applyFill="1" applyBorder="1" applyAlignment="1" applyProtection="1">
      <alignment horizontal="left" vertical="center" wrapText="1"/>
      <protection locked="0"/>
    </xf>
    <xf numFmtId="0" fontId="11" fillId="2" borderId="47" xfId="3" applyFont="1" applyFill="1" applyBorder="1" applyAlignment="1" applyProtection="1">
      <alignment horizontal="left" vertical="center" wrapText="1"/>
      <protection locked="0"/>
    </xf>
    <xf numFmtId="0" fontId="30" fillId="2" borderId="48" xfId="3" applyFont="1" applyFill="1" applyBorder="1" applyAlignment="1" applyProtection="1">
      <alignment horizontal="left" vertical="center" wrapText="1"/>
      <protection locked="0"/>
    </xf>
    <xf numFmtId="0" fontId="30" fillId="2" borderId="45" xfId="3" applyFont="1" applyFill="1" applyBorder="1" applyAlignment="1" applyProtection="1">
      <alignment horizontal="left" vertical="center" wrapText="1"/>
      <protection locked="0"/>
    </xf>
    <xf numFmtId="0" fontId="30" fillId="2" borderId="47" xfId="3" applyFont="1" applyFill="1" applyBorder="1" applyAlignment="1" applyProtection="1">
      <alignment horizontal="left" vertical="center" wrapText="1"/>
      <protection locked="0"/>
    </xf>
    <xf numFmtId="0" fontId="30" fillId="2" borderId="49" xfId="3" applyFont="1" applyFill="1" applyBorder="1" applyAlignment="1" applyProtection="1">
      <alignment horizontal="left" vertical="center" wrapText="1"/>
      <protection locked="0"/>
    </xf>
    <xf numFmtId="0" fontId="1" fillId="0" borderId="24" xfId="0" applyFont="1" applyBorder="1"/>
    <xf numFmtId="0" fontId="9" fillId="2" borderId="2" xfId="4" applyFont="1" applyFill="1" applyBorder="1" applyAlignment="1" applyProtection="1">
      <alignment horizontal="left" vertical="center" wrapText="1"/>
      <protection locked="0"/>
    </xf>
    <xf numFmtId="0" fontId="9" fillId="2" borderId="1" xfId="4" applyFont="1" applyFill="1" applyBorder="1" applyAlignment="1" applyProtection="1">
      <alignment vertical="center" wrapText="1"/>
      <protection locked="0"/>
    </xf>
    <xf numFmtId="0" fontId="13" fillId="11" borderId="5" xfId="0" applyFont="1" applyFill="1" applyBorder="1" applyAlignment="1">
      <alignment horizontal="left" vertical="center" wrapText="1"/>
    </xf>
    <xf numFmtId="0" fontId="13" fillId="11" borderId="24" xfId="0" applyFont="1" applyFill="1" applyBorder="1" applyAlignment="1">
      <alignment horizontal="left" vertical="center" wrapText="1"/>
    </xf>
    <xf numFmtId="0" fontId="11" fillId="2" borderId="50" xfId="3" applyFont="1" applyFill="1" applyBorder="1" applyAlignment="1" applyProtection="1">
      <alignment horizontal="center" vertical="center" wrapText="1"/>
      <protection locked="0"/>
    </xf>
    <xf numFmtId="0" fontId="11" fillId="2" borderId="51" xfId="3" applyFont="1" applyFill="1" applyBorder="1" applyAlignment="1" applyProtection="1">
      <alignment horizontal="center" vertical="center" wrapText="1"/>
      <protection locked="0"/>
    </xf>
    <xf numFmtId="0" fontId="13" fillId="9" borderId="64" xfId="0" applyFont="1" applyFill="1" applyBorder="1" applyAlignment="1">
      <alignment horizontal="center" vertical="center" wrapText="1"/>
    </xf>
    <xf numFmtId="0" fontId="13" fillId="9" borderId="65" xfId="0" applyFont="1" applyFill="1" applyBorder="1" applyAlignment="1">
      <alignment horizontal="center" vertical="center" wrapText="1"/>
    </xf>
    <xf numFmtId="0" fontId="1" fillId="0" borderId="4" xfId="4" applyFont="1" applyBorder="1" applyAlignment="1" applyProtection="1">
      <alignment vertical="center" wrapText="1"/>
      <protection locked="0"/>
    </xf>
    <xf numFmtId="0" fontId="31" fillId="11" borderId="24" xfId="3" applyFont="1" applyFill="1" applyBorder="1" applyAlignment="1" applyProtection="1">
      <alignment horizontal="left" vertical="center" wrapText="1"/>
      <protection locked="0"/>
    </xf>
    <xf numFmtId="0" fontId="31" fillId="11" borderId="5" xfId="3" applyFont="1" applyFill="1" applyBorder="1" applyAlignment="1" applyProtection="1">
      <alignment horizontal="left" vertical="center" wrapText="1"/>
      <protection locked="0"/>
    </xf>
    <xf numFmtId="0" fontId="5" fillId="0" borderId="4" xfId="3" applyFont="1" applyBorder="1" applyAlignment="1" applyProtection="1">
      <alignment vertical="center" wrapText="1"/>
      <protection locked="0"/>
    </xf>
    <xf numFmtId="0" fontId="3" fillId="3" borderId="4" xfId="3" applyFont="1" applyFill="1" applyBorder="1" applyAlignment="1" applyProtection="1">
      <alignment horizontal="left" vertical="center" wrapText="1"/>
      <protection locked="0"/>
    </xf>
    <xf numFmtId="0" fontId="5" fillId="0" borderId="4" xfId="3" applyFont="1" applyBorder="1" applyAlignment="1" applyProtection="1">
      <alignment horizontal="left" vertical="center" wrapText="1"/>
      <protection locked="0"/>
    </xf>
    <xf numFmtId="0" fontId="3" fillId="0" borderId="4" xfId="3" quotePrefix="1" applyFont="1" applyBorder="1" applyAlignment="1" applyProtection="1">
      <alignment horizontal="left" vertical="center" wrapText="1"/>
      <protection locked="0"/>
    </xf>
    <xf numFmtId="0" fontId="27" fillId="4" borderId="4" xfId="4" applyFont="1" applyFill="1" applyBorder="1" applyAlignment="1" applyProtection="1">
      <alignment horizontal="center" vertical="center" wrapText="1"/>
      <protection locked="0"/>
    </xf>
    <xf numFmtId="0" fontId="9" fillId="0" borderId="0" xfId="4" applyFont="1" applyAlignment="1" applyProtection="1">
      <alignment horizontal="center" vertical="center" wrapText="1"/>
      <protection locked="0"/>
    </xf>
    <xf numFmtId="164" fontId="24" fillId="0" borderId="0" xfId="0" applyNumberFormat="1" applyFont="1" applyAlignment="1">
      <alignment horizontal="left" vertical="center" wrapText="1"/>
    </xf>
    <xf numFmtId="0" fontId="27" fillId="3" borderId="4" xfId="3" applyFont="1" applyFill="1" applyBorder="1" applyAlignment="1" applyProtection="1">
      <alignment vertical="center" wrapText="1"/>
      <protection locked="0"/>
    </xf>
    <xf numFmtId="0" fontId="34" fillId="0" borderId="0" xfId="0" applyFont="1"/>
    <xf numFmtId="0" fontId="3" fillId="3" borderId="4" xfId="4" applyFont="1" applyFill="1" applyBorder="1" applyAlignment="1" applyProtection="1">
      <alignment vertical="center"/>
      <protection locked="0"/>
    </xf>
    <xf numFmtId="0" fontId="21" fillId="2" borderId="50" xfId="3" applyFont="1" applyFill="1" applyBorder="1" applyAlignment="1" applyProtection="1">
      <alignment horizontal="center" vertical="center" wrapText="1"/>
      <protection locked="0"/>
    </xf>
    <xf numFmtId="0" fontId="21" fillId="2" borderId="51" xfId="3" applyFont="1" applyFill="1" applyBorder="1" applyAlignment="1" applyProtection="1">
      <alignment horizontal="center" vertical="center" wrapText="1"/>
      <protection locked="0"/>
    </xf>
    <xf numFmtId="0" fontId="33" fillId="11" borderId="24" xfId="3" applyFont="1" applyFill="1" applyBorder="1" applyAlignment="1" applyProtection="1">
      <alignment horizontal="left" vertical="center" wrapText="1"/>
      <protection locked="0"/>
    </xf>
    <xf numFmtId="0" fontId="33" fillId="11" borderId="5" xfId="3" applyFont="1" applyFill="1" applyBorder="1" applyAlignment="1" applyProtection="1">
      <alignment horizontal="left" vertical="center" wrapText="1"/>
      <protection locked="0"/>
    </xf>
    <xf numFmtId="0" fontId="1" fillId="11" borderId="32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1" fillId="0" borderId="4" xfId="3" applyFont="1" applyBorder="1" applyAlignment="1" applyProtection="1">
      <alignment vertical="center" wrapText="1"/>
      <protection locked="0"/>
    </xf>
    <xf numFmtId="0" fontId="3" fillId="0" borderId="4" xfId="3" applyFont="1" applyBorder="1" applyAlignment="1" applyProtection="1">
      <alignment vertical="center" wrapText="1"/>
      <protection locked="0"/>
    </xf>
    <xf numFmtId="0" fontId="1" fillId="0" borderId="17" xfId="0" applyFont="1" applyBorder="1" applyAlignment="1">
      <alignment vertical="center" wrapText="1"/>
    </xf>
    <xf numFmtId="0" fontId="27" fillId="0" borderId="4" xfId="3" applyFont="1" applyBorder="1" applyAlignment="1" applyProtection="1">
      <alignment horizontal="left" vertical="center" wrapText="1"/>
      <protection locked="0"/>
    </xf>
    <xf numFmtId="0" fontId="24" fillId="9" borderId="91" xfId="0" applyFont="1" applyFill="1" applyBorder="1" applyAlignment="1">
      <alignment vertical="center"/>
    </xf>
    <xf numFmtId="0" fontId="24" fillId="9" borderId="65" xfId="0" applyFont="1" applyFill="1" applyBorder="1" applyAlignment="1">
      <alignment vertical="center"/>
    </xf>
    <xf numFmtId="0" fontId="24" fillId="9" borderId="92" xfId="0" applyFont="1" applyFill="1" applyBorder="1" applyAlignment="1">
      <alignment vertical="center"/>
    </xf>
    <xf numFmtId="0" fontId="24" fillId="9" borderId="5" xfId="0" applyFont="1" applyFill="1" applyBorder="1" applyAlignment="1">
      <alignment vertical="center"/>
    </xf>
    <xf numFmtId="0" fontId="27" fillId="3" borderId="1" xfId="3" applyFont="1" applyFill="1" applyBorder="1" applyAlignment="1" applyProtection="1">
      <alignment horizontal="left" vertical="center" wrapText="1"/>
      <protection locked="0"/>
    </xf>
    <xf numFmtId="0" fontId="24" fillId="9" borderId="68" xfId="0" applyFont="1" applyFill="1" applyBorder="1" applyAlignment="1">
      <alignment vertical="center"/>
    </xf>
    <xf numFmtId="0" fontId="24" fillId="9" borderId="76" xfId="0" applyFont="1" applyFill="1" applyBorder="1" applyAlignment="1">
      <alignment vertical="center"/>
    </xf>
    <xf numFmtId="0" fontId="27" fillId="12" borderId="4" xfId="3" applyFont="1" applyFill="1" applyBorder="1" applyAlignment="1" applyProtection="1">
      <alignment horizontal="center" vertical="center" wrapText="1"/>
      <protection locked="0"/>
    </xf>
    <xf numFmtId="0" fontId="27" fillId="8" borderId="4" xfId="4" applyFont="1" applyFill="1" applyBorder="1" applyAlignment="1" applyProtection="1">
      <alignment horizontal="center" vertical="center" wrapText="1"/>
      <protection locked="0"/>
    </xf>
    <xf numFmtId="0" fontId="38" fillId="0" borderId="4" xfId="3" quotePrefix="1" applyFont="1" applyBorder="1" applyAlignment="1" applyProtection="1">
      <alignment horizontal="left" vertical="center" wrapText="1"/>
      <protection locked="0"/>
    </xf>
    <xf numFmtId="0" fontId="38" fillId="0" borderId="4" xfId="3" applyFont="1" applyBorder="1" applyAlignment="1" applyProtection="1">
      <alignment horizontal="left" vertical="center" wrapText="1"/>
      <protection locked="0"/>
    </xf>
    <xf numFmtId="0" fontId="38" fillId="3" borderId="4" xfId="4" quotePrefix="1" applyFont="1" applyFill="1" applyBorder="1" applyAlignment="1" applyProtection="1">
      <alignment horizontal="left" vertical="center" wrapText="1"/>
      <protection locked="0"/>
    </xf>
    <xf numFmtId="0" fontId="38" fillId="0" borderId="4" xfId="4" quotePrefix="1" applyFont="1" applyBorder="1" applyAlignment="1" applyProtection="1">
      <alignment horizontal="left" vertical="center" wrapText="1"/>
      <protection locked="0"/>
    </xf>
    <xf numFmtId="0" fontId="24" fillId="9" borderId="73" xfId="0" applyFont="1" applyFill="1" applyBorder="1" applyAlignment="1">
      <alignment vertical="center"/>
    </xf>
    <xf numFmtId="0" fontId="27" fillId="8" borderId="4" xfId="3" applyFont="1" applyFill="1" applyBorder="1" applyAlignment="1" applyProtection="1">
      <alignment horizontal="center" vertical="center" wrapText="1"/>
      <protection locked="0"/>
    </xf>
    <xf numFmtId="0" fontId="1" fillId="0" borderId="1" xfId="3" applyFont="1" applyBorder="1" applyAlignment="1" applyProtection="1">
      <alignment horizontal="left" vertical="center" wrapText="1"/>
      <protection locked="0"/>
    </xf>
    <xf numFmtId="0" fontId="38" fillId="3" borderId="1" xfId="4" quotePrefix="1" applyFont="1" applyFill="1" applyBorder="1" applyAlignment="1" applyProtection="1">
      <alignment horizontal="left" vertical="center" wrapText="1"/>
      <protection locked="0"/>
    </xf>
    <xf numFmtId="0" fontId="27" fillId="6" borderId="10" xfId="4" applyFont="1" applyFill="1" applyBorder="1" applyAlignment="1" applyProtection="1">
      <alignment horizontal="center" vertical="center" wrapText="1"/>
      <protection locked="0"/>
    </xf>
    <xf numFmtId="0" fontId="3" fillId="0" borderId="10" xfId="4" applyFont="1" applyBorder="1" applyAlignment="1" applyProtection="1">
      <alignment horizontal="left" vertical="center" wrapText="1"/>
      <protection locked="0"/>
    </xf>
    <xf numFmtId="0" fontId="1" fillId="0" borderId="10" xfId="4" quotePrefix="1" applyFont="1" applyBorder="1" applyAlignment="1" applyProtection="1">
      <alignment horizontal="left" vertical="center" wrapText="1"/>
      <protection locked="0"/>
    </xf>
    <xf numFmtId="0" fontId="1" fillId="0" borderId="14" xfId="4" applyFont="1" applyBorder="1" applyAlignment="1" applyProtection="1">
      <alignment vertical="center" wrapText="1"/>
      <protection locked="0"/>
    </xf>
    <xf numFmtId="0" fontId="1" fillId="0" borderId="15" xfId="4" applyFont="1" applyBorder="1" applyAlignment="1" applyProtection="1">
      <alignment vertical="center" wrapText="1"/>
      <protection locked="0"/>
    </xf>
    <xf numFmtId="0" fontId="27" fillId="6" borderId="11" xfId="4" applyFont="1" applyFill="1" applyBorder="1" applyAlignment="1" applyProtection="1">
      <alignment horizontal="center" vertical="center" wrapText="1"/>
      <protection locked="0"/>
    </xf>
    <xf numFmtId="0" fontId="27" fillId="0" borderId="12" xfId="4" applyFont="1" applyBorder="1" applyAlignment="1" applyProtection="1">
      <alignment vertical="center" wrapText="1"/>
      <protection locked="0"/>
    </xf>
    <xf numFmtId="0" fontId="1" fillId="0" borderId="113" xfId="4" applyFont="1" applyBorder="1" applyAlignment="1" applyProtection="1">
      <alignment vertical="center" wrapText="1"/>
      <protection locked="0"/>
    </xf>
    <xf numFmtId="0" fontId="27" fillId="4" borderId="10" xfId="4" applyFont="1" applyFill="1" applyBorder="1" applyAlignment="1" applyProtection="1">
      <alignment horizontal="center" vertical="center" wrapText="1"/>
      <protection locked="0"/>
    </xf>
    <xf numFmtId="0" fontId="27" fillId="0" borderId="10" xfId="4" applyFont="1" applyBorder="1" applyAlignment="1" applyProtection="1">
      <alignment vertical="center" wrapText="1"/>
      <protection locked="0"/>
    </xf>
    <xf numFmtId="0" fontId="3" fillId="0" borderId="10" xfId="4" applyFont="1" applyBorder="1" applyAlignment="1" applyProtection="1">
      <alignment vertical="center" wrapText="1"/>
      <protection locked="0"/>
    </xf>
    <xf numFmtId="0" fontId="1" fillId="0" borderId="10" xfId="4" applyFont="1" applyBorder="1" applyAlignment="1" applyProtection="1">
      <alignment vertical="center" wrapText="1"/>
      <protection locked="0"/>
    </xf>
    <xf numFmtId="0" fontId="5" fillId="4" borderId="12" xfId="3" applyFont="1" applyFill="1" applyBorder="1" applyAlignment="1" applyProtection="1">
      <alignment horizontal="center" vertical="center" wrapText="1"/>
      <protection locked="0"/>
    </xf>
    <xf numFmtId="0" fontId="27" fillId="0" borderId="12" xfId="3" applyFont="1" applyBorder="1" applyAlignment="1" applyProtection="1">
      <alignment vertical="center" wrapText="1"/>
      <protection locked="0"/>
    </xf>
    <xf numFmtId="0" fontId="1" fillId="0" borderId="12" xfId="3" quotePrefix="1" applyFont="1" applyBorder="1" applyAlignment="1" applyProtection="1">
      <alignment horizontal="left" vertical="center" wrapText="1"/>
      <protection locked="0"/>
    </xf>
    <xf numFmtId="0" fontId="27" fillId="12" borderId="10" xfId="3" applyFont="1" applyFill="1" applyBorder="1" applyAlignment="1" applyProtection="1">
      <alignment horizontal="center" vertical="center" wrapText="1"/>
      <protection locked="0"/>
    </xf>
    <xf numFmtId="0" fontId="27" fillId="0" borderId="10" xfId="3" applyFont="1" applyBorder="1" applyAlignment="1" applyProtection="1">
      <alignment vertical="center" wrapText="1"/>
      <protection locked="0"/>
    </xf>
    <xf numFmtId="0" fontId="3" fillId="0" borderId="10" xfId="3" applyFont="1" applyBorder="1" applyAlignment="1" applyProtection="1">
      <alignment horizontal="left" vertical="center" wrapText="1"/>
      <protection locked="0"/>
    </xf>
    <xf numFmtId="0" fontId="1" fillId="0" borderId="10" xfId="3" quotePrefix="1" applyFont="1" applyBorder="1" applyAlignment="1" applyProtection="1">
      <alignment horizontal="left" vertical="center" wrapText="1"/>
      <protection locked="0"/>
    </xf>
    <xf numFmtId="0" fontId="27" fillId="12" borderId="12" xfId="3" applyFont="1" applyFill="1" applyBorder="1" applyAlignment="1" applyProtection="1">
      <alignment horizontal="center" vertical="center" wrapText="1"/>
      <protection locked="0"/>
    </xf>
    <xf numFmtId="0" fontId="3" fillId="0" borderId="10" xfId="3" quotePrefix="1" applyFont="1" applyBorder="1" applyAlignment="1" applyProtection="1">
      <alignment horizontal="left" vertical="center" wrapText="1"/>
      <protection locked="0"/>
    </xf>
    <xf numFmtId="0" fontId="27" fillId="7" borderId="10" xfId="3" applyFont="1" applyFill="1" applyBorder="1" applyAlignment="1" applyProtection="1">
      <alignment horizontal="center" vertical="center" wrapText="1"/>
      <protection locked="0"/>
    </xf>
    <xf numFmtId="0" fontId="1" fillId="0" borderId="10" xfId="3" applyFont="1" applyBorder="1" applyAlignment="1" applyProtection="1">
      <alignment vertical="center" wrapText="1"/>
      <protection locked="0"/>
    </xf>
    <xf numFmtId="0" fontId="27" fillId="7" borderId="12" xfId="3" applyFont="1" applyFill="1" applyBorder="1" applyAlignment="1" applyProtection="1">
      <alignment horizontal="center" vertical="center" wrapText="1"/>
      <protection locked="0"/>
    </xf>
    <xf numFmtId="0" fontId="33" fillId="11" borderId="44" xfId="3" applyFont="1" applyFill="1" applyBorder="1" applyAlignment="1" applyProtection="1">
      <alignment horizontal="left" vertical="center" wrapText="1"/>
      <protection locked="0"/>
    </xf>
    <xf numFmtId="0" fontId="1" fillId="11" borderId="29" xfId="0" applyFont="1" applyFill="1" applyBorder="1" applyAlignment="1">
      <alignment horizontal="left" vertical="center" wrapText="1"/>
    </xf>
    <xf numFmtId="0" fontId="21" fillId="2" borderId="101" xfId="3" applyFont="1" applyFill="1" applyBorder="1" applyAlignment="1" applyProtection="1">
      <alignment horizontal="left" vertical="center" wrapText="1"/>
      <protection locked="0"/>
    </xf>
    <xf numFmtId="0" fontId="21" fillId="2" borderId="102" xfId="3" applyFont="1" applyFill="1" applyBorder="1" applyAlignment="1" applyProtection="1">
      <alignment horizontal="left" vertical="center" wrapText="1"/>
      <protection locked="0"/>
    </xf>
    <xf numFmtId="0" fontId="21" fillId="2" borderId="106" xfId="3" applyFont="1" applyFill="1" applyBorder="1" applyAlignment="1" applyProtection="1">
      <alignment horizontal="left" vertical="center" wrapText="1"/>
      <protection locked="0"/>
    </xf>
    <xf numFmtId="0" fontId="20" fillId="9" borderId="43" xfId="0" applyFont="1" applyFill="1" applyBorder="1" applyAlignment="1">
      <alignment horizontal="center" vertical="center" wrapText="1"/>
    </xf>
    <xf numFmtId="0" fontId="20" fillId="9" borderId="21" xfId="0" applyFont="1" applyFill="1" applyBorder="1" applyAlignment="1">
      <alignment horizontal="center" vertical="center" wrapText="1"/>
    </xf>
    <xf numFmtId="0" fontId="20" fillId="3" borderId="42" xfId="0" applyFont="1" applyFill="1" applyBorder="1" applyAlignment="1">
      <alignment horizontal="center" vertical="center" wrapText="1"/>
    </xf>
    <xf numFmtId="0" fontId="20" fillId="3" borderId="43" xfId="0" applyFont="1" applyFill="1" applyBorder="1" applyAlignment="1">
      <alignment horizontal="center" vertical="center" wrapText="1"/>
    </xf>
    <xf numFmtId="164" fontId="20" fillId="9" borderId="43" xfId="0" applyNumberFormat="1" applyFont="1" applyFill="1" applyBorder="1" applyAlignment="1">
      <alignment horizontal="center" vertical="center" wrapText="1"/>
    </xf>
    <xf numFmtId="0" fontId="24" fillId="9" borderId="59" xfId="0" applyFont="1" applyFill="1" applyBorder="1" applyAlignment="1">
      <alignment horizontal="left" vertical="top" wrapText="1"/>
    </xf>
    <xf numFmtId="0" fontId="24" fillId="9" borderId="60" xfId="0" applyFont="1" applyFill="1" applyBorder="1" applyAlignment="1">
      <alignment horizontal="left" vertical="top" wrapText="1"/>
    </xf>
    <xf numFmtId="0" fontId="24" fillId="9" borderId="66" xfId="0" applyFont="1" applyFill="1" applyBorder="1" applyAlignment="1">
      <alignment horizontal="left" vertical="top" wrapText="1"/>
    </xf>
    <xf numFmtId="0" fontId="13" fillId="9" borderId="67" xfId="0" applyFont="1" applyFill="1" applyBorder="1" applyAlignment="1">
      <alignment horizontal="center" vertical="center"/>
    </xf>
    <xf numFmtId="0" fontId="13" fillId="9" borderId="60" xfId="0" applyFont="1" applyFill="1" applyBorder="1" applyAlignment="1">
      <alignment horizontal="center" vertical="center"/>
    </xf>
    <xf numFmtId="0" fontId="13" fillId="9" borderId="68" xfId="0" applyFont="1" applyFill="1" applyBorder="1" applyAlignment="1">
      <alignment horizontal="center" vertical="center"/>
    </xf>
    <xf numFmtId="0" fontId="1" fillId="3" borderId="77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41" xfId="0" applyFont="1" applyFill="1" applyBorder="1" applyAlignment="1">
      <alignment horizontal="left" vertical="center" wrapText="1"/>
    </xf>
    <xf numFmtId="0" fontId="9" fillId="8" borderId="61" xfId="4" applyFont="1" applyFill="1" applyBorder="1" applyAlignment="1" applyProtection="1">
      <alignment horizontal="center" vertical="center" wrapText="1"/>
      <protection locked="0"/>
    </xf>
    <xf numFmtId="0" fontId="9" fillId="8" borderId="62" xfId="4" applyFont="1" applyFill="1" applyBorder="1" applyAlignment="1" applyProtection="1">
      <alignment horizontal="center" vertical="center" wrapText="1"/>
      <protection locked="0"/>
    </xf>
    <xf numFmtId="0" fontId="9" fillId="8" borderId="63" xfId="4" applyFont="1" applyFill="1" applyBorder="1" applyAlignment="1" applyProtection="1">
      <alignment horizontal="center" vertical="center" wrapText="1"/>
      <protection locked="0"/>
    </xf>
    <xf numFmtId="0" fontId="24" fillId="9" borderId="59" xfId="0" applyFont="1" applyFill="1" applyBorder="1" applyAlignment="1">
      <alignment horizontal="left" vertical="center" wrapText="1"/>
    </xf>
    <xf numFmtId="0" fontId="24" fillId="9" borderId="60" xfId="0" applyFont="1" applyFill="1" applyBorder="1" applyAlignment="1">
      <alignment horizontal="left" vertical="center" wrapText="1"/>
    </xf>
    <xf numFmtId="0" fontId="24" fillId="9" borderId="68" xfId="0" applyFont="1" applyFill="1" applyBorder="1" applyAlignment="1">
      <alignment horizontal="left" vertical="center" wrapText="1"/>
    </xf>
    <xf numFmtId="0" fontId="9" fillId="8" borderId="55" xfId="4" applyFont="1" applyFill="1" applyBorder="1" applyAlignment="1" applyProtection="1">
      <alignment horizontal="center" vertical="center" wrapText="1"/>
      <protection locked="0"/>
    </xf>
    <xf numFmtId="0" fontId="9" fillId="8" borderId="56" xfId="4" applyFont="1" applyFill="1" applyBorder="1" applyAlignment="1" applyProtection="1">
      <alignment horizontal="center" vertical="center" wrapText="1"/>
      <protection locked="0"/>
    </xf>
    <xf numFmtId="0" fontId="9" fillId="8" borderId="58" xfId="4" applyFont="1" applyFill="1" applyBorder="1" applyAlignment="1" applyProtection="1">
      <alignment horizontal="center" vertical="center" wrapText="1"/>
      <protection locked="0"/>
    </xf>
    <xf numFmtId="0" fontId="9" fillId="2" borderId="42" xfId="4" applyFont="1" applyFill="1" applyBorder="1" applyAlignment="1" applyProtection="1">
      <alignment horizontal="left" vertical="center" wrapText="1"/>
      <protection locked="0"/>
    </xf>
    <xf numFmtId="0" fontId="9" fillId="2" borderId="43" xfId="4" applyFont="1" applyFill="1" applyBorder="1" applyAlignment="1" applyProtection="1">
      <alignment horizontal="left" vertical="center" wrapText="1"/>
      <protection locked="0"/>
    </xf>
    <xf numFmtId="0" fontId="9" fillId="2" borderId="93" xfId="4" applyFont="1" applyFill="1" applyBorder="1" applyAlignment="1" applyProtection="1">
      <alignment horizontal="left" vertical="center" wrapText="1"/>
      <protection locked="0"/>
    </xf>
    <xf numFmtId="0" fontId="1" fillId="3" borderId="40" xfId="0" applyFont="1" applyFill="1" applyBorder="1" applyAlignment="1">
      <alignment horizontal="left" vertical="center" wrapText="1"/>
    </xf>
    <xf numFmtId="0" fontId="1" fillId="3" borderId="84" xfId="0" applyFont="1" applyFill="1" applyBorder="1" applyAlignment="1">
      <alignment horizontal="left" vertical="center" wrapText="1"/>
    </xf>
    <xf numFmtId="0" fontId="1" fillId="3" borderId="13" xfId="0" applyFont="1" applyFill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3" fillId="9" borderId="64" xfId="0" applyFont="1" applyFill="1" applyBorder="1" applyAlignment="1">
      <alignment horizontal="center"/>
    </xf>
    <xf numFmtId="0" fontId="13" fillId="9" borderId="8" xfId="0" applyFont="1" applyFill="1" applyBorder="1" applyAlignment="1">
      <alignment horizontal="center"/>
    </xf>
    <xf numFmtId="0" fontId="13" fillId="9" borderId="9" xfId="0" applyFont="1" applyFill="1" applyBorder="1" applyAlignment="1">
      <alignment horizontal="center"/>
    </xf>
    <xf numFmtId="0" fontId="13" fillId="9" borderId="7" xfId="0" applyFont="1" applyFill="1" applyBorder="1" applyAlignment="1">
      <alignment horizontal="center"/>
    </xf>
    <xf numFmtId="0" fontId="13" fillId="9" borderId="65" xfId="0" applyFont="1" applyFill="1" applyBorder="1" applyAlignment="1">
      <alignment horizontal="center"/>
    </xf>
    <xf numFmtId="0" fontId="14" fillId="8" borderId="61" xfId="3" applyFont="1" applyFill="1" applyBorder="1" applyAlignment="1" applyProtection="1">
      <alignment horizontal="center" vertical="center" wrapText="1"/>
      <protection locked="0"/>
    </xf>
    <xf numFmtId="0" fontId="14" fillId="8" borderId="62" xfId="3" applyFont="1" applyFill="1" applyBorder="1" applyAlignment="1" applyProtection="1">
      <alignment horizontal="center" vertical="center" wrapText="1"/>
      <protection locked="0"/>
    </xf>
    <xf numFmtId="0" fontId="14" fillId="8" borderId="63" xfId="3" applyFont="1" applyFill="1" applyBorder="1" applyAlignment="1" applyProtection="1">
      <alignment horizontal="center" vertical="center" wrapText="1"/>
      <protection locked="0"/>
    </xf>
    <xf numFmtId="0" fontId="9" fillId="2" borderId="71" xfId="3" applyFont="1" applyFill="1" applyBorder="1" applyAlignment="1" applyProtection="1">
      <alignment horizontal="left" vertical="center" wrapText="1"/>
      <protection locked="0"/>
    </xf>
    <xf numFmtId="0" fontId="9" fillId="2" borderId="6" xfId="3" applyFont="1" applyFill="1" applyBorder="1" applyAlignment="1" applyProtection="1">
      <alignment horizontal="left" vertical="center" wrapText="1"/>
      <protection locked="0"/>
    </xf>
    <xf numFmtId="164" fontId="24" fillId="9" borderId="7" xfId="0" applyNumberFormat="1" applyFont="1" applyFill="1" applyBorder="1" applyAlignment="1">
      <alignment horizontal="left"/>
    </xf>
    <xf numFmtId="164" fontId="24" fillId="9" borderId="8" xfId="0" applyNumberFormat="1" applyFont="1" applyFill="1" applyBorder="1" applyAlignment="1">
      <alignment horizontal="left"/>
    </xf>
    <xf numFmtId="164" fontId="24" fillId="9" borderId="65" xfId="0" applyNumberFormat="1" applyFont="1" applyFill="1" applyBorder="1" applyAlignment="1">
      <alignment horizontal="left"/>
    </xf>
    <xf numFmtId="0" fontId="9" fillId="8" borderId="71" xfId="4" applyFont="1" applyFill="1" applyBorder="1" applyAlignment="1" applyProtection="1">
      <alignment horizontal="center" vertical="center" wrapText="1"/>
      <protection locked="0"/>
    </xf>
    <xf numFmtId="0" fontId="9" fillId="8" borderId="6" xfId="4" applyFont="1" applyFill="1" applyBorder="1" applyAlignment="1" applyProtection="1">
      <alignment horizontal="center" vertical="center" wrapText="1"/>
      <protection locked="0"/>
    </xf>
    <xf numFmtId="0" fontId="9" fillId="8" borderId="91" xfId="4" applyFont="1" applyFill="1" applyBorder="1" applyAlignment="1" applyProtection="1">
      <alignment horizontal="center" vertical="center" wrapText="1"/>
      <protection locked="0"/>
    </xf>
    <xf numFmtId="0" fontId="9" fillId="2" borderId="71" xfId="3" applyFont="1" applyFill="1" applyBorder="1" applyAlignment="1" applyProtection="1">
      <alignment horizontal="center" vertical="center" wrapText="1"/>
      <protection locked="0"/>
    </xf>
    <xf numFmtId="0" fontId="9" fillId="2" borderId="6" xfId="3" applyFont="1" applyFill="1" applyBorder="1" applyAlignment="1" applyProtection="1">
      <alignment horizontal="center" vertical="center" wrapText="1"/>
      <protection locked="0"/>
    </xf>
    <xf numFmtId="0" fontId="9" fillId="2" borderId="91" xfId="3" applyFont="1" applyFill="1" applyBorder="1" applyAlignment="1" applyProtection="1">
      <alignment horizontal="center" vertical="center" wrapText="1"/>
      <protection locked="0"/>
    </xf>
    <xf numFmtId="0" fontId="9" fillId="8" borderId="77" xfId="4" applyFont="1" applyFill="1" applyBorder="1" applyAlignment="1" applyProtection="1">
      <alignment horizontal="center" vertical="center" wrapText="1"/>
      <protection locked="0"/>
    </xf>
    <xf numFmtId="0" fontId="9" fillId="8" borderId="0" xfId="4" applyFont="1" applyFill="1" applyAlignment="1" applyProtection="1">
      <alignment horizontal="center" vertical="center" wrapText="1"/>
      <protection locked="0"/>
    </xf>
    <xf numFmtId="0" fontId="1" fillId="3" borderId="42" xfId="0" applyFont="1" applyFill="1" applyBorder="1" applyAlignment="1">
      <alignment horizontal="center" vertical="center" wrapText="1"/>
    </xf>
    <xf numFmtId="0" fontId="1" fillId="3" borderId="43" xfId="0" applyFont="1" applyFill="1" applyBorder="1" applyAlignment="1">
      <alignment horizontal="center" vertical="center" wrapText="1"/>
    </xf>
    <xf numFmtId="164" fontId="20" fillId="9" borderId="33" xfId="0" applyNumberFormat="1" applyFont="1" applyFill="1" applyBorder="1" applyAlignment="1">
      <alignment horizontal="center" vertical="center" wrapText="1"/>
    </xf>
    <xf numFmtId="0" fontId="21" fillId="2" borderId="42" xfId="4" applyFont="1" applyFill="1" applyBorder="1" applyAlignment="1" applyProtection="1">
      <alignment horizontal="center" vertical="center" wrapText="1"/>
      <protection locked="0"/>
    </xf>
    <xf numFmtId="0" fontId="21" fillId="2" borderId="43" xfId="4" applyFont="1" applyFill="1" applyBorder="1" applyAlignment="1" applyProtection="1">
      <alignment horizontal="center" vertical="center" wrapText="1"/>
      <protection locked="0"/>
    </xf>
    <xf numFmtId="0" fontId="21" fillId="2" borderId="81" xfId="4" applyFont="1" applyFill="1" applyBorder="1" applyAlignment="1" applyProtection="1">
      <alignment horizontal="center" vertical="center" wrapText="1"/>
      <protection locked="0"/>
    </xf>
    <xf numFmtId="0" fontId="21" fillId="2" borderId="30" xfId="4" applyFont="1" applyFill="1" applyBorder="1" applyAlignment="1" applyProtection="1">
      <alignment horizontal="center" vertical="center" wrapText="1"/>
      <protection locked="0"/>
    </xf>
    <xf numFmtId="0" fontId="21" fillId="2" borderId="82" xfId="4" applyFont="1" applyFill="1" applyBorder="1" applyAlignment="1" applyProtection="1">
      <alignment horizontal="center" vertical="center" wrapText="1"/>
      <protection locked="0"/>
    </xf>
    <xf numFmtId="0" fontId="21" fillId="2" borderId="0" xfId="4" applyFont="1" applyFill="1" applyAlignment="1" applyProtection="1">
      <alignment horizontal="center" vertical="center" wrapText="1"/>
      <protection locked="0"/>
    </xf>
    <xf numFmtId="0" fontId="26" fillId="6" borderId="110" xfId="4" applyFont="1" applyFill="1" applyBorder="1" applyAlignment="1" applyProtection="1">
      <alignment horizontal="center" vertical="center" textRotation="90" wrapText="1"/>
      <protection locked="0"/>
    </xf>
    <xf numFmtId="0" fontId="26" fillId="6" borderId="111" xfId="4" applyFont="1" applyFill="1" applyBorder="1" applyAlignment="1" applyProtection="1">
      <alignment horizontal="center" vertical="center" textRotation="90" wrapText="1"/>
      <protection locked="0"/>
    </xf>
    <xf numFmtId="0" fontId="26" fillId="6" borderId="112" xfId="4" applyFont="1" applyFill="1" applyBorder="1" applyAlignment="1" applyProtection="1">
      <alignment horizontal="center" vertical="center" textRotation="90" wrapText="1"/>
      <protection locked="0"/>
    </xf>
    <xf numFmtId="0" fontId="26" fillId="4" borderId="110" xfId="3" applyFont="1" applyFill="1" applyBorder="1" applyAlignment="1" applyProtection="1">
      <alignment horizontal="center" vertical="center" textRotation="90" wrapText="1"/>
      <protection locked="0"/>
    </xf>
    <xf numFmtId="0" fontId="26" fillId="4" borderId="111" xfId="3" applyFont="1" applyFill="1" applyBorder="1" applyAlignment="1" applyProtection="1">
      <alignment horizontal="center" vertical="center" textRotation="90" wrapText="1"/>
      <protection locked="0"/>
    </xf>
    <xf numFmtId="0" fontId="26" fillId="4" borderId="112" xfId="3" applyFont="1" applyFill="1" applyBorder="1" applyAlignment="1" applyProtection="1">
      <alignment horizontal="center" vertical="center" textRotation="90" wrapText="1"/>
      <protection locked="0"/>
    </xf>
    <xf numFmtId="0" fontId="39" fillId="7" borderId="110" xfId="0" applyFont="1" applyFill="1" applyBorder="1" applyAlignment="1">
      <alignment horizontal="center" vertical="center" textRotation="90" wrapText="1"/>
    </xf>
    <xf numFmtId="0" fontId="39" fillId="7" borderId="111" xfId="0" applyFont="1" applyFill="1" applyBorder="1" applyAlignment="1">
      <alignment horizontal="center" vertical="center" textRotation="90" wrapText="1"/>
    </xf>
    <xf numFmtId="0" fontId="39" fillId="7" borderId="112" xfId="0" applyFont="1" applyFill="1" applyBorder="1" applyAlignment="1">
      <alignment horizontal="center" vertical="center" textRotation="90" wrapText="1"/>
    </xf>
    <xf numFmtId="0" fontId="29" fillId="12" borderId="110" xfId="3" applyFont="1" applyFill="1" applyBorder="1" applyAlignment="1" applyProtection="1">
      <alignment horizontal="center" vertical="center" textRotation="90" wrapText="1"/>
      <protection locked="0"/>
    </xf>
    <xf numFmtId="0" fontId="29" fillId="12" borderId="111" xfId="3" applyFont="1" applyFill="1" applyBorder="1" applyAlignment="1" applyProtection="1">
      <alignment horizontal="center" vertical="center" textRotation="90"/>
      <protection locked="0"/>
    </xf>
    <xf numFmtId="0" fontId="29" fillId="12" borderId="112" xfId="3" applyFont="1" applyFill="1" applyBorder="1" applyAlignment="1" applyProtection="1">
      <alignment horizontal="center" vertical="center" textRotation="90"/>
      <protection locked="0"/>
    </xf>
    <xf numFmtId="0" fontId="9" fillId="8" borderId="29" xfId="4" applyFont="1" applyFill="1" applyBorder="1" applyAlignment="1" applyProtection="1">
      <alignment horizontal="center" vertical="center" wrapText="1"/>
      <protection locked="0"/>
    </xf>
    <xf numFmtId="0" fontId="9" fillId="8" borderId="30" xfId="4" applyFont="1" applyFill="1" applyBorder="1" applyAlignment="1" applyProtection="1">
      <alignment horizontal="center" vertical="center" wrapText="1"/>
      <protection locked="0"/>
    </xf>
    <xf numFmtId="0" fontId="9" fillId="8" borderId="31" xfId="4" applyFont="1" applyFill="1" applyBorder="1" applyAlignment="1" applyProtection="1">
      <alignment horizontal="center" vertical="center" wrapText="1"/>
      <protection locked="0"/>
    </xf>
    <xf numFmtId="0" fontId="9" fillId="2" borderId="77" xfId="3" applyFont="1" applyFill="1" applyBorder="1" applyAlignment="1" applyProtection="1">
      <alignment horizontal="left" vertical="center" wrapText="1"/>
      <protection locked="0"/>
    </xf>
    <xf numFmtId="0" fontId="9" fillId="2" borderId="0" xfId="3" applyFont="1" applyFill="1" applyAlignment="1" applyProtection="1">
      <alignment horizontal="left" vertical="center" wrapText="1"/>
      <protection locked="0"/>
    </xf>
    <xf numFmtId="0" fontId="9" fillId="2" borderId="32" xfId="3" applyFont="1" applyFill="1" applyBorder="1" applyAlignment="1" applyProtection="1">
      <alignment horizontal="left" vertical="center" wrapText="1"/>
      <protection locked="0"/>
    </xf>
    <xf numFmtId="0" fontId="9" fillId="2" borderId="33" xfId="3" applyFont="1" applyFill="1" applyBorder="1" applyAlignment="1" applyProtection="1">
      <alignment horizontal="left" vertical="center" wrapText="1"/>
      <protection locked="0"/>
    </xf>
    <xf numFmtId="164" fontId="24" fillId="9" borderId="0" xfId="0" applyNumberFormat="1" applyFont="1" applyFill="1" applyAlignment="1">
      <alignment horizontal="center" vertical="center" wrapText="1"/>
    </xf>
    <xf numFmtId="164" fontId="24" fillId="9" borderId="40" xfId="0" applyNumberFormat="1" applyFont="1" applyFill="1" applyBorder="1" applyAlignment="1">
      <alignment horizontal="center" vertical="center" wrapText="1"/>
    </xf>
    <xf numFmtId="0" fontId="24" fillId="9" borderId="33" xfId="0" applyFont="1" applyFill="1" applyBorder="1" applyAlignment="1">
      <alignment horizontal="center" vertical="center" wrapText="1"/>
    </xf>
    <xf numFmtId="0" fontId="24" fillId="9" borderId="25" xfId="0" applyFont="1" applyFill="1" applyBorder="1" applyAlignment="1">
      <alignment horizontal="center" vertical="center" wrapText="1"/>
    </xf>
    <xf numFmtId="0" fontId="24" fillId="9" borderId="77" xfId="0" applyFont="1" applyFill="1" applyBorder="1" applyAlignment="1">
      <alignment horizontal="left" vertical="center" wrapText="1"/>
    </xf>
    <xf numFmtId="0" fontId="24" fillId="9" borderId="0" xfId="0" applyFont="1" applyFill="1" applyAlignment="1">
      <alignment horizontal="left" vertical="center" wrapText="1"/>
    </xf>
    <xf numFmtId="0" fontId="24" fillId="9" borderId="40" xfId="0" applyFont="1" applyFill="1" applyBorder="1" applyAlignment="1">
      <alignment horizontal="left" vertical="center" wrapText="1"/>
    </xf>
    <xf numFmtId="0" fontId="9" fillId="8" borderId="40" xfId="4" applyFont="1" applyFill="1" applyBorder="1" applyAlignment="1" applyProtection="1">
      <alignment horizontal="center" vertical="center" wrapText="1"/>
      <protection locked="0"/>
    </xf>
    <xf numFmtId="0" fontId="13" fillId="9" borderId="0" xfId="0" applyFont="1" applyFill="1" applyAlignment="1">
      <alignment horizontal="left" vertical="center" wrapText="1"/>
    </xf>
    <xf numFmtId="0" fontId="13" fillId="9" borderId="40" xfId="0" applyFont="1" applyFill="1" applyBorder="1" applyAlignment="1">
      <alignment horizontal="left" vertical="center" wrapText="1"/>
    </xf>
    <xf numFmtId="0" fontId="13" fillId="9" borderId="33" xfId="0" applyFont="1" applyFill="1" applyBorder="1" applyAlignment="1">
      <alignment horizontal="left" vertical="center" wrapText="1"/>
    </xf>
    <xf numFmtId="0" fontId="13" fillId="9" borderId="25" xfId="0" applyFont="1" applyFill="1" applyBorder="1" applyAlignment="1">
      <alignment horizontal="left" vertical="center" wrapText="1"/>
    </xf>
    <xf numFmtId="0" fontId="9" fillId="5" borderId="77" xfId="3" applyFont="1" applyFill="1" applyBorder="1" applyAlignment="1" applyProtection="1">
      <alignment horizontal="left" vertical="center" wrapText="1"/>
      <protection locked="0"/>
    </xf>
    <xf numFmtId="0" fontId="9" fillId="5" borderId="0" xfId="3" applyFont="1" applyFill="1" applyAlignment="1" applyProtection="1">
      <alignment horizontal="left" vertical="center" wrapText="1"/>
      <protection locked="0"/>
    </xf>
    <xf numFmtId="0" fontId="24" fillId="9" borderId="0" xfId="0" applyFont="1" applyFill="1" applyAlignment="1">
      <alignment horizontal="center" vertical="center" wrapText="1"/>
    </xf>
    <xf numFmtId="0" fontId="24" fillId="9" borderId="40" xfId="0" applyFont="1" applyFill="1" applyBorder="1" applyAlignment="1">
      <alignment horizontal="center" vertical="center" wrapText="1"/>
    </xf>
    <xf numFmtId="164" fontId="24" fillId="9" borderId="33" xfId="0" applyNumberFormat="1" applyFont="1" applyFill="1" applyBorder="1" applyAlignment="1">
      <alignment horizontal="center" vertical="center" wrapText="1"/>
    </xf>
    <xf numFmtId="164" fontId="24" fillId="9" borderId="25" xfId="0" applyNumberFormat="1" applyFont="1" applyFill="1" applyBorder="1" applyAlignment="1">
      <alignment horizontal="center" vertical="center" wrapText="1"/>
    </xf>
    <xf numFmtId="0" fontId="11" fillId="2" borderId="52" xfId="3" applyFont="1" applyFill="1" applyBorder="1" applyAlignment="1" applyProtection="1">
      <alignment horizontal="center" vertical="center" wrapText="1"/>
      <protection locked="0"/>
    </xf>
    <xf numFmtId="0" fontId="11" fillId="2" borderId="23" xfId="3" applyFont="1" applyFill="1" applyBorder="1" applyAlignment="1" applyProtection="1">
      <alignment horizontal="center" vertical="center" wrapText="1"/>
      <protection locked="0"/>
    </xf>
    <xf numFmtId="0" fontId="11" fillId="2" borderId="53" xfId="3" applyFont="1" applyFill="1" applyBorder="1" applyAlignment="1" applyProtection="1">
      <alignment horizontal="center" vertical="center" wrapText="1"/>
      <protection locked="0"/>
    </xf>
    <xf numFmtId="0" fontId="31" fillId="11" borderId="5" xfId="3" applyFont="1" applyFill="1" applyBorder="1" applyAlignment="1" applyProtection="1">
      <alignment horizontal="center" vertical="center" wrapText="1"/>
      <protection locked="0"/>
    </xf>
    <xf numFmtId="0" fontId="13" fillId="11" borderId="5" xfId="0" applyFont="1" applyFill="1" applyBorder="1" applyAlignment="1">
      <alignment horizontal="center" vertical="center" wrapText="1"/>
    </xf>
    <xf numFmtId="0" fontId="24" fillId="11" borderId="32" xfId="3" applyFont="1" applyFill="1" applyBorder="1" applyAlignment="1" applyProtection="1">
      <alignment horizontal="center" vertical="center" wrapText="1"/>
      <protection locked="0"/>
    </xf>
    <xf numFmtId="0" fontId="24" fillId="11" borderId="33" xfId="3" applyFont="1" applyFill="1" applyBorder="1" applyAlignment="1" applyProtection="1">
      <alignment horizontal="center" vertical="center" wrapText="1"/>
      <protection locked="0"/>
    </xf>
    <xf numFmtId="0" fontId="24" fillId="11" borderId="25" xfId="3" applyFont="1" applyFill="1" applyBorder="1" applyAlignment="1" applyProtection="1">
      <alignment horizontal="center" vertical="center" wrapText="1"/>
      <protection locked="0"/>
    </xf>
    <xf numFmtId="0" fontId="13" fillId="11" borderId="32" xfId="0" applyFont="1" applyFill="1" applyBorder="1" applyAlignment="1">
      <alignment horizontal="center" vertical="center" wrapText="1"/>
    </xf>
    <xf numFmtId="0" fontId="13" fillId="11" borderId="25" xfId="0" applyFont="1" applyFill="1" applyBorder="1" applyAlignment="1">
      <alignment horizontal="center" vertical="center" wrapText="1"/>
    </xf>
    <xf numFmtId="0" fontId="1" fillId="3" borderId="59" xfId="0" applyFont="1" applyFill="1" applyBorder="1" applyAlignment="1">
      <alignment horizontal="center" vertical="center" wrapText="1"/>
    </xf>
    <xf numFmtId="0" fontId="1" fillId="3" borderId="60" xfId="0" applyFont="1" applyFill="1" applyBorder="1" applyAlignment="1">
      <alignment horizontal="center" vertical="center" wrapText="1"/>
    </xf>
    <xf numFmtId="164" fontId="24" fillId="9" borderId="33" xfId="0" applyNumberFormat="1" applyFont="1" applyFill="1" applyBorder="1" applyAlignment="1">
      <alignment horizontal="left" vertical="center" wrapText="1"/>
    </xf>
    <xf numFmtId="164" fontId="24" fillId="9" borderId="25" xfId="0" applyNumberFormat="1" applyFont="1" applyFill="1" applyBorder="1" applyAlignment="1">
      <alignment horizontal="left" vertical="center" wrapText="1"/>
    </xf>
    <xf numFmtId="0" fontId="9" fillId="10" borderId="77" xfId="4" applyFont="1" applyFill="1" applyBorder="1" applyAlignment="1" applyProtection="1">
      <alignment horizontal="left" vertical="center" wrapText="1"/>
      <protection locked="0"/>
    </xf>
    <xf numFmtId="0" fontId="9" fillId="10" borderId="0" xfId="4" applyFont="1" applyFill="1" applyAlignment="1" applyProtection="1">
      <alignment horizontal="left" vertical="center" wrapText="1"/>
      <protection locked="0"/>
    </xf>
    <xf numFmtId="0" fontId="9" fillId="2" borderId="32" xfId="4" applyFont="1" applyFill="1" applyBorder="1" applyAlignment="1" applyProtection="1">
      <alignment horizontal="left" vertical="center" wrapText="1"/>
      <protection locked="0"/>
    </xf>
    <xf numFmtId="0" fontId="9" fillId="2" borderId="33" xfId="4" applyFont="1" applyFill="1" applyBorder="1" applyAlignment="1" applyProtection="1">
      <alignment horizontal="left" vertical="center" wrapText="1"/>
      <protection locked="0"/>
    </xf>
    <xf numFmtId="164" fontId="15" fillId="9" borderId="0" xfId="0" applyNumberFormat="1" applyFont="1" applyFill="1" applyAlignment="1">
      <alignment horizontal="center" vertical="center" wrapText="1"/>
    </xf>
    <xf numFmtId="164" fontId="15" fillId="9" borderId="40" xfId="0" applyNumberFormat="1" applyFont="1" applyFill="1" applyBorder="1" applyAlignment="1">
      <alignment horizontal="center" vertical="center" wrapText="1"/>
    </xf>
    <xf numFmtId="164" fontId="15" fillId="9" borderId="33" xfId="0" applyNumberFormat="1" applyFont="1" applyFill="1" applyBorder="1" applyAlignment="1">
      <alignment horizontal="center" vertical="center" wrapText="1"/>
    </xf>
    <xf numFmtId="164" fontId="15" fillId="9" borderId="25" xfId="0" applyNumberFormat="1" applyFont="1" applyFill="1" applyBorder="1" applyAlignment="1">
      <alignment horizontal="center" vertical="center" wrapText="1"/>
    </xf>
    <xf numFmtId="0" fontId="9" fillId="2" borderId="77" xfId="4" applyFont="1" applyFill="1" applyBorder="1" applyAlignment="1" applyProtection="1">
      <alignment horizontal="left" vertical="center" wrapText="1"/>
      <protection locked="0"/>
    </xf>
    <xf numFmtId="0" fontId="9" fillId="2" borderId="0" xfId="4" applyFont="1" applyFill="1" applyAlignment="1" applyProtection="1">
      <alignment horizontal="left" vertical="center" wrapText="1"/>
      <protection locked="0"/>
    </xf>
    <xf numFmtId="164" fontId="24" fillId="9" borderId="32" xfId="0" applyNumberFormat="1" applyFont="1" applyFill="1" applyBorder="1" applyAlignment="1">
      <alignment horizontal="left" vertical="center" wrapText="1"/>
    </xf>
    <xf numFmtId="0" fontId="9" fillId="2" borderId="55" xfId="4" applyFont="1" applyFill="1" applyBorder="1" applyAlignment="1" applyProtection="1">
      <alignment horizontal="center" vertical="center" wrapText="1"/>
      <protection locked="0"/>
    </xf>
    <xf numFmtId="0" fontId="9" fillId="2" borderId="56" xfId="4" applyFont="1" applyFill="1" applyBorder="1" applyAlignment="1" applyProtection="1">
      <alignment horizontal="center" vertical="center" wrapText="1"/>
      <protection locked="0"/>
    </xf>
    <xf numFmtId="0" fontId="9" fillId="2" borderId="57" xfId="4" applyFont="1" applyFill="1" applyBorder="1" applyAlignment="1" applyProtection="1">
      <alignment horizontal="center" vertical="center" wrapText="1"/>
      <protection locked="0"/>
    </xf>
    <xf numFmtId="0" fontId="9" fillId="2" borderId="58" xfId="4" applyFont="1" applyFill="1" applyBorder="1" applyAlignment="1" applyProtection="1">
      <alignment horizontal="center" vertical="center" wrapText="1"/>
      <protection locked="0"/>
    </xf>
    <xf numFmtId="0" fontId="9" fillId="8" borderId="78" xfId="4" applyFont="1" applyFill="1" applyBorder="1" applyAlignment="1" applyProtection="1">
      <alignment horizontal="center" vertical="center" wrapText="1"/>
      <protection locked="0"/>
    </xf>
    <xf numFmtId="0" fontId="9" fillId="8" borderId="79" xfId="4" applyFont="1" applyFill="1" applyBorder="1" applyAlignment="1" applyProtection="1">
      <alignment horizontal="center" vertical="center" wrapText="1"/>
      <protection locked="0"/>
    </xf>
    <xf numFmtId="0" fontId="9" fillId="8" borderId="80" xfId="4" applyFont="1" applyFill="1" applyBorder="1" applyAlignment="1" applyProtection="1">
      <alignment horizontal="center" vertical="center" wrapText="1"/>
      <protection locked="0"/>
    </xf>
    <xf numFmtId="0" fontId="13" fillId="9" borderId="64" xfId="0" applyFont="1" applyFill="1" applyBorder="1" applyAlignment="1">
      <alignment horizontal="center" vertical="center" wrapText="1"/>
    </xf>
    <xf numFmtId="0" fontId="13" fillId="9" borderId="8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3" fillId="9" borderId="65" xfId="0" applyFont="1" applyFill="1" applyBorder="1" applyAlignment="1">
      <alignment horizontal="center" vertical="center" wrapText="1"/>
    </xf>
    <xf numFmtId="164" fontId="15" fillId="9" borderId="0" xfId="0" applyNumberFormat="1" applyFont="1" applyFill="1" applyAlignment="1">
      <alignment horizontal="left" vertical="center" wrapText="1"/>
    </xf>
    <xf numFmtId="164" fontId="15" fillId="9" borderId="40" xfId="0" applyNumberFormat="1" applyFont="1" applyFill="1" applyBorder="1" applyAlignment="1">
      <alignment horizontal="left" vertical="center" wrapText="1"/>
    </xf>
    <xf numFmtId="0" fontId="9" fillId="5" borderId="42" xfId="3" applyFont="1" applyFill="1" applyBorder="1" applyAlignment="1" applyProtection="1">
      <alignment horizontal="center" vertical="center" wrapText="1"/>
      <protection locked="0"/>
    </xf>
    <xf numFmtId="0" fontId="9" fillId="5" borderId="43" xfId="3" applyFont="1" applyFill="1" applyBorder="1" applyAlignment="1" applyProtection="1">
      <alignment horizontal="center" vertical="center" wrapText="1"/>
      <protection locked="0"/>
    </xf>
    <xf numFmtId="0" fontId="24" fillId="9" borderId="69" xfId="0" applyFont="1" applyFill="1" applyBorder="1" applyAlignment="1">
      <alignment horizontal="left" vertical="center" wrapText="1"/>
    </xf>
    <xf numFmtId="0" fontId="24" fillId="9" borderId="17" xfId="0" applyFont="1" applyFill="1" applyBorder="1" applyAlignment="1">
      <alignment horizontal="left" vertical="center" wrapText="1"/>
    </xf>
    <xf numFmtId="0" fontId="24" fillId="9" borderId="19" xfId="0" applyFont="1" applyFill="1" applyBorder="1" applyAlignment="1">
      <alignment horizontal="left" vertical="center" wrapText="1"/>
    </xf>
    <xf numFmtId="0" fontId="24" fillId="9" borderId="18" xfId="0" applyFont="1" applyFill="1" applyBorder="1" applyAlignment="1">
      <alignment horizontal="left" vertical="center" wrapText="1"/>
    </xf>
    <xf numFmtId="0" fontId="24" fillId="9" borderId="70" xfId="0" applyFont="1" applyFill="1" applyBorder="1" applyAlignment="1">
      <alignment horizontal="left" vertical="center" wrapText="1"/>
    </xf>
    <xf numFmtId="0" fontId="9" fillId="8" borderId="72" xfId="4" applyFont="1" applyFill="1" applyBorder="1" applyAlignment="1" applyProtection="1">
      <alignment horizontal="center" vertical="center" wrapText="1"/>
      <protection locked="0"/>
    </xf>
    <xf numFmtId="0" fontId="9" fillId="8" borderId="54" xfId="4" applyFont="1" applyFill="1" applyBorder="1" applyAlignment="1" applyProtection="1">
      <alignment horizontal="center" vertical="center" wrapText="1"/>
      <protection locked="0"/>
    </xf>
    <xf numFmtId="0" fontId="9" fillId="8" borderId="73" xfId="4" applyFont="1" applyFill="1" applyBorder="1" applyAlignment="1" applyProtection="1">
      <alignment horizontal="center" vertical="center" wrapText="1"/>
      <protection locked="0"/>
    </xf>
    <xf numFmtId="0" fontId="9" fillId="2" borderId="74" xfId="3" applyFont="1" applyFill="1" applyBorder="1" applyAlignment="1" applyProtection="1">
      <alignment horizontal="center" vertical="center" wrapText="1"/>
      <protection locked="0"/>
    </xf>
    <xf numFmtId="0" fontId="9" fillId="2" borderId="75" xfId="3" applyFont="1" applyFill="1" applyBorder="1" applyAlignment="1" applyProtection="1">
      <alignment horizontal="center" vertical="center" wrapText="1"/>
      <protection locked="0"/>
    </xf>
    <xf numFmtId="0" fontId="9" fillId="2" borderId="76" xfId="3" applyFont="1" applyFill="1" applyBorder="1" applyAlignment="1" applyProtection="1">
      <alignment horizontal="center" vertical="center" wrapText="1"/>
      <protection locked="0"/>
    </xf>
    <xf numFmtId="164" fontId="24" fillId="9" borderId="7" xfId="0" applyNumberFormat="1" applyFont="1" applyFill="1" applyBorder="1" applyAlignment="1">
      <alignment horizontal="left" vertical="center" wrapText="1"/>
    </xf>
    <xf numFmtId="164" fontId="24" fillId="9" borderId="8" xfId="0" applyNumberFormat="1" applyFont="1" applyFill="1" applyBorder="1" applyAlignment="1">
      <alignment horizontal="left" vertical="center" wrapText="1"/>
    </xf>
    <xf numFmtId="164" fontId="24" fillId="9" borderId="65" xfId="0" applyNumberFormat="1" applyFont="1" applyFill="1" applyBorder="1" applyAlignment="1">
      <alignment horizontal="left" vertical="center" wrapText="1"/>
    </xf>
    <xf numFmtId="0" fontId="12" fillId="2" borderId="36" xfId="3" applyFont="1" applyFill="1" applyBorder="1" applyAlignment="1" applyProtection="1">
      <alignment horizontal="center" vertical="center" wrapText="1"/>
      <protection locked="0"/>
    </xf>
    <xf numFmtId="0" fontId="12" fillId="2" borderId="37" xfId="3" applyFont="1" applyFill="1" applyBorder="1" applyAlignment="1" applyProtection="1">
      <alignment horizontal="center" vertical="center" wrapText="1"/>
      <protection locked="0"/>
    </xf>
    <xf numFmtId="0" fontId="12" fillId="2" borderId="38" xfId="3" applyFont="1" applyFill="1" applyBorder="1" applyAlignment="1" applyProtection="1">
      <alignment horizontal="center" vertical="center" wrapText="1"/>
      <protection locked="0"/>
    </xf>
    <xf numFmtId="0" fontId="3" fillId="3" borderId="42" xfId="1" applyFont="1" applyFill="1" applyBorder="1" applyAlignment="1">
      <alignment horizontal="center" vertical="center" wrapText="1"/>
    </xf>
    <xf numFmtId="0" fontId="3" fillId="3" borderId="43" xfId="1" applyFont="1" applyFill="1" applyBorder="1" applyAlignment="1">
      <alignment horizontal="center" vertical="center" wrapText="1"/>
    </xf>
    <xf numFmtId="0" fontId="3" fillId="3" borderId="21" xfId="1" applyFont="1" applyFill="1" applyBorder="1" applyAlignment="1">
      <alignment horizontal="center" vertical="center" wrapText="1"/>
    </xf>
    <xf numFmtId="0" fontId="4" fillId="3" borderId="42" xfId="0" applyFont="1" applyFill="1" applyBorder="1" applyAlignment="1">
      <alignment horizontal="center" vertical="center" wrapText="1"/>
    </xf>
    <xf numFmtId="0" fontId="4" fillId="3" borderId="43" xfId="0" applyFont="1" applyFill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0" fontId="18" fillId="3" borderId="42" xfId="2" applyFont="1" applyFill="1" applyBorder="1" applyAlignment="1">
      <alignment horizontal="left" vertical="center" wrapText="1"/>
    </xf>
    <xf numFmtId="0" fontId="18" fillId="3" borderId="21" xfId="2" applyFont="1" applyFill="1" applyBorder="1" applyAlignment="1">
      <alignment horizontal="left" vertical="center" wrapText="1"/>
    </xf>
    <xf numFmtId="0" fontId="17" fillId="3" borderId="5" xfId="2" applyFont="1" applyFill="1" applyBorder="1" applyAlignment="1">
      <alignment horizontal="left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3" fillId="2" borderId="5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21" fillId="2" borderId="5" xfId="1" applyFont="1" applyFill="1" applyBorder="1" applyAlignment="1">
      <alignment horizontal="center" vertical="center" wrapText="1"/>
    </xf>
    <xf numFmtId="0" fontId="21" fillId="2" borderId="20" xfId="1" applyFont="1" applyFill="1" applyBorder="1" applyAlignment="1">
      <alignment horizontal="center" vertical="center" wrapText="1"/>
    </xf>
    <xf numFmtId="0" fontId="21" fillId="2" borderId="21" xfId="1" applyFont="1" applyFill="1" applyBorder="1" applyAlignment="1">
      <alignment horizontal="center" vertical="center"/>
    </xf>
    <xf numFmtId="0" fontId="21" fillId="2" borderId="5" xfId="1" applyFont="1" applyFill="1" applyBorder="1" applyAlignment="1">
      <alignment horizontal="center" vertical="center"/>
    </xf>
    <xf numFmtId="0" fontId="21" fillId="2" borderId="20" xfId="1" applyFont="1" applyFill="1" applyBorder="1" applyAlignment="1">
      <alignment horizontal="center" vertical="center"/>
    </xf>
    <xf numFmtId="0" fontId="19" fillId="3" borderId="5" xfId="2" applyFont="1" applyFill="1" applyBorder="1" applyAlignment="1">
      <alignment horizontal="left" vertical="center" wrapText="1"/>
    </xf>
    <xf numFmtId="0" fontId="18" fillId="3" borderId="5" xfId="2" applyFont="1" applyFill="1" applyBorder="1" applyAlignment="1">
      <alignment horizontal="left" vertical="center" wrapText="1"/>
    </xf>
    <xf numFmtId="0" fontId="20" fillId="0" borderId="5" xfId="1" applyFont="1" applyBorder="1" applyAlignment="1">
      <alignment horizontal="center" vertical="center"/>
    </xf>
    <xf numFmtId="0" fontId="20" fillId="0" borderId="5" xfId="1" applyFont="1" applyBorder="1" applyAlignment="1">
      <alignment horizontal="center" vertical="top"/>
    </xf>
    <xf numFmtId="0" fontId="6" fillId="0" borderId="29" xfId="1" applyFont="1" applyBorder="1" applyAlignment="1">
      <alignment horizontal="center" vertical="center" wrapText="1"/>
    </xf>
    <xf numFmtId="0" fontId="6" fillId="0" borderId="30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6" fillId="0" borderId="32" xfId="1" applyFont="1" applyBorder="1" applyAlignment="1">
      <alignment horizontal="center" vertical="center" wrapText="1"/>
    </xf>
    <xf numFmtId="0" fontId="6" fillId="0" borderId="33" xfId="1" applyFont="1" applyBorder="1" applyAlignment="1">
      <alignment horizontal="center" vertical="center" wrapText="1"/>
    </xf>
    <xf numFmtId="0" fontId="6" fillId="0" borderId="25" xfId="1" applyFont="1" applyBorder="1" applyAlignment="1">
      <alignment horizontal="center" vertical="center" wrapText="1"/>
    </xf>
    <xf numFmtId="0" fontId="21" fillId="2" borderId="23" xfId="1" applyFont="1" applyFill="1" applyBorder="1" applyAlignment="1">
      <alignment horizontal="center" vertical="center"/>
    </xf>
    <xf numFmtId="0" fontId="21" fillId="2" borderId="27" xfId="1" applyFont="1" applyFill="1" applyBorder="1" applyAlignment="1">
      <alignment horizontal="center" vertical="center"/>
    </xf>
    <xf numFmtId="0" fontId="21" fillId="2" borderId="28" xfId="1" applyFont="1" applyFill="1" applyBorder="1" applyAlignment="1">
      <alignment horizontal="center" vertical="center"/>
    </xf>
    <xf numFmtId="0" fontId="21" fillId="2" borderId="25" xfId="1" applyFont="1" applyFill="1" applyBorder="1" applyAlignment="1">
      <alignment horizontal="center" vertical="top"/>
    </xf>
    <xf numFmtId="0" fontId="21" fillId="2" borderId="24" xfId="1" applyFont="1" applyFill="1" applyBorder="1" applyAlignment="1">
      <alignment horizontal="center" vertical="top"/>
    </xf>
    <xf numFmtId="0" fontId="19" fillId="3" borderId="42" xfId="2" applyFont="1" applyFill="1" applyBorder="1" applyAlignment="1">
      <alignment horizontal="left" vertical="center" wrapText="1"/>
    </xf>
    <xf numFmtId="0" fontId="19" fillId="3" borderId="21" xfId="2" applyFont="1" applyFill="1" applyBorder="1" applyAlignment="1">
      <alignment horizontal="left" vertical="center" wrapText="1"/>
    </xf>
    <xf numFmtId="164" fontId="20" fillId="9" borderId="21" xfId="0" applyNumberFormat="1" applyFont="1" applyFill="1" applyBorder="1" applyAlignment="1">
      <alignment horizontal="center" vertical="center" wrapText="1"/>
    </xf>
    <xf numFmtId="0" fontId="1" fillId="0" borderId="42" xfId="0" applyFont="1" applyBorder="1" applyAlignment="1">
      <alignment horizontal="left" vertical="center" wrapText="1"/>
    </xf>
    <xf numFmtId="0" fontId="1" fillId="0" borderId="43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left" vertical="center" wrapText="1"/>
    </xf>
    <xf numFmtId="0" fontId="21" fillId="2" borderId="32" xfId="3" applyFont="1" applyFill="1" applyBorder="1" applyAlignment="1" applyProtection="1">
      <alignment horizontal="left" vertical="center" wrapText="1"/>
      <protection locked="0"/>
    </xf>
    <xf numFmtId="0" fontId="21" fillId="2" borderId="33" xfId="3" applyFont="1" applyFill="1" applyBorder="1" applyAlignment="1" applyProtection="1">
      <alignment horizontal="left" vertical="center" wrapText="1"/>
      <protection locked="0"/>
    </xf>
    <xf numFmtId="0" fontId="21" fillId="2" borderId="25" xfId="3" applyFont="1" applyFill="1" applyBorder="1" applyAlignment="1" applyProtection="1">
      <alignment horizontal="left" vertical="center" wrapText="1"/>
      <protection locked="0"/>
    </xf>
    <xf numFmtId="0" fontId="21" fillId="2" borderId="50" xfId="3" applyFont="1" applyFill="1" applyBorder="1" applyAlignment="1" applyProtection="1">
      <alignment horizontal="left" vertical="center" wrapText="1"/>
      <protection locked="0"/>
    </xf>
    <xf numFmtId="0" fontId="21" fillId="2" borderId="99" xfId="3" applyFont="1" applyFill="1" applyBorder="1" applyAlignment="1" applyProtection="1">
      <alignment horizontal="left" vertical="center" wrapText="1"/>
      <protection locked="0"/>
    </xf>
    <xf numFmtId="0" fontId="21" fillId="2" borderId="103" xfId="3" applyFont="1" applyFill="1" applyBorder="1" applyAlignment="1" applyProtection="1">
      <alignment horizontal="left" vertical="center" wrapText="1"/>
      <protection locked="0"/>
    </xf>
    <xf numFmtId="0" fontId="21" fillId="2" borderId="104" xfId="3" applyFont="1" applyFill="1" applyBorder="1" applyAlignment="1" applyProtection="1">
      <alignment horizontal="left" vertical="center" wrapText="1"/>
      <protection locked="0"/>
    </xf>
    <xf numFmtId="0" fontId="21" fillId="2" borderId="47" xfId="3" applyFont="1" applyFill="1" applyBorder="1" applyAlignment="1" applyProtection="1">
      <alignment horizontal="left" vertical="center" wrapText="1"/>
      <protection locked="0"/>
    </xf>
    <xf numFmtId="0" fontId="21" fillId="2" borderId="105" xfId="3" applyFont="1" applyFill="1" applyBorder="1" applyAlignment="1" applyProtection="1">
      <alignment horizontal="left" vertical="center" wrapText="1"/>
      <protection locked="0"/>
    </xf>
    <xf numFmtId="0" fontId="20" fillId="9" borderId="42" xfId="0" applyFont="1" applyFill="1" applyBorder="1" applyAlignment="1">
      <alignment horizontal="left" vertical="center" wrapText="1"/>
    </xf>
    <xf numFmtId="0" fontId="20" fillId="9" borderId="43" xfId="0" applyFont="1" applyFill="1" applyBorder="1" applyAlignment="1">
      <alignment horizontal="left" vertical="center" wrapText="1"/>
    </xf>
    <xf numFmtId="0" fontId="20" fillId="9" borderId="21" xfId="0" applyFont="1" applyFill="1" applyBorder="1" applyAlignment="1">
      <alignment horizontal="left" vertical="center" wrapText="1"/>
    </xf>
    <xf numFmtId="0" fontId="20" fillId="9" borderId="30" xfId="0" applyFont="1" applyFill="1" applyBorder="1" applyAlignment="1">
      <alignment horizontal="center" vertical="center" wrapText="1"/>
    </xf>
    <xf numFmtId="0" fontId="20" fillId="9" borderId="31" xfId="0" applyFont="1" applyFill="1" applyBorder="1" applyAlignment="1">
      <alignment horizontal="center" vertical="center" wrapText="1"/>
    </xf>
    <xf numFmtId="0" fontId="20" fillId="9" borderId="33" xfId="0" applyFont="1" applyFill="1" applyBorder="1" applyAlignment="1">
      <alignment horizontal="center" vertical="center" wrapText="1"/>
    </xf>
    <xf numFmtId="0" fontId="20" fillId="9" borderId="25" xfId="0" applyFont="1" applyFill="1" applyBorder="1" applyAlignment="1">
      <alignment horizontal="center" vertical="center" wrapText="1"/>
    </xf>
    <xf numFmtId="0" fontId="21" fillId="2" borderId="89" xfId="3" applyFont="1" applyFill="1" applyBorder="1" applyAlignment="1" applyProtection="1">
      <alignment horizontal="left" vertical="center" wrapText="1"/>
      <protection locked="0"/>
    </xf>
    <xf numFmtId="0" fontId="21" fillId="2" borderId="87" xfId="3" applyFont="1" applyFill="1" applyBorder="1" applyAlignment="1" applyProtection="1">
      <alignment horizontal="left" vertical="center" wrapText="1"/>
      <protection locked="0"/>
    </xf>
    <xf numFmtId="164" fontId="20" fillId="9" borderId="0" xfId="0" applyNumberFormat="1" applyFont="1" applyFill="1" applyAlignment="1">
      <alignment horizontal="center" vertical="center" wrapText="1"/>
    </xf>
    <xf numFmtId="164" fontId="20" fillId="9" borderId="40" xfId="0" applyNumberFormat="1" applyFont="1" applyFill="1" applyBorder="1" applyAlignment="1">
      <alignment horizontal="center" vertical="center" wrapText="1"/>
    </xf>
    <xf numFmtId="0" fontId="9" fillId="8" borderId="64" xfId="4" applyFont="1" applyFill="1" applyBorder="1" applyAlignment="1" applyProtection="1">
      <alignment horizontal="center" vertical="center" wrapText="1"/>
      <protection locked="0"/>
    </xf>
    <xf numFmtId="0" fontId="9" fillId="8" borderId="8" xfId="4" applyFont="1" applyFill="1" applyBorder="1" applyAlignment="1" applyProtection="1">
      <alignment horizontal="center" vertical="center" wrapText="1"/>
      <protection locked="0"/>
    </xf>
    <xf numFmtId="0" fontId="9" fillId="8" borderId="65" xfId="4" applyFont="1" applyFill="1" applyBorder="1" applyAlignment="1" applyProtection="1">
      <alignment horizontal="center" vertical="center" wrapText="1"/>
      <protection locked="0"/>
    </xf>
    <xf numFmtId="0" fontId="1" fillId="9" borderId="13" xfId="0" applyFont="1" applyFill="1" applyBorder="1" applyAlignment="1">
      <alignment horizontal="center" vertical="center" wrapText="1"/>
    </xf>
    <xf numFmtId="0" fontId="1" fillId="9" borderId="92" xfId="0" applyFont="1" applyFill="1" applyBorder="1" applyAlignment="1">
      <alignment horizontal="center" vertical="center" wrapText="1"/>
    </xf>
    <xf numFmtId="0" fontId="1" fillId="9" borderId="60" xfId="0" applyFont="1" applyFill="1" applyBorder="1" applyAlignment="1">
      <alignment horizontal="center" vertical="center" wrapText="1"/>
    </xf>
    <xf numFmtId="0" fontId="1" fillId="9" borderId="68" xfId="0" applyFont="1" applyFill="1" applyBorder="1" applyAlignment="1">
      <alignment horizontal="center" vertical="center" wrapText="1"/>
    </xf>
    <xf numFmtId="0" fontId="21" fillId="2" borderId="77" xfId="3" applyFont="1" applyFill="1" applyBorder="1" applyAlignment="1" applyProtection="1">
      <alignment horizontal="left" vertical="center" wrapText="1"/>
      <protection locked="0"/>
    </xf>
    <xf numFmtId="0" fontId="21" fillId="2" borderId="0" xfId="3" applyFont="1" applyFill="1" applyAlignment="1" applyProtection="1">
      <alignment horizontal="left" vertical="center" wrapText="1"/>
      <protection locked="0"/>
    </xf>
    <xf numFmtId="0" fontId="21" fillId="2" borderId="88" xfId="3" applyFont="1" applyFill="1" applyBorder="1" applyAlignment="1" applyProtection="1">
      <alignment horizontal="left" vertical="center" wrapText="1"/>
      <protection locked="0"/>
    </xf>
    <xf numFmtId="0" fontId="21" fillId="2" borderId="86" xfId="3" applyFont="1" applyFill="1" applyBorder="1" applyAlignment="1" applyProtection="1">
      <alignment horizontal="left" vertical="center" wrapText="1"/>
      <protection locked="0"/>
    </xf>
    <xf numFmtId="0" fontId="9" fillId="8" borderId="98" xfId="4" applyFont="1" applyFill="1" applyBorder="1" applyAlignment="1" applyProtection="1">
      <alignment horizontal="center" vertical="center" wrapText="1"/>
      <protection locked="0"/>
    </xf>
    <xf numFmtId="0" fontId="9" fillId="8" borderId="94" xfId="4" applyFont="1" applyFill="1" applyBorder="1" applyAlignment="1" applyProtection="1">
      <alignment horizontal="center" vertical="center" wrapText="1"/>
      <protection locked="0"/>
    </xf>
    <xf numFmtId="0" fontId="9" fillId="8" borderId="95" xfId="4" applyFont="1" applyFill="1" applyBorder="1" applyAlignment="1" applyProtection="1">
      <alignment horizontal="center" vertical="center" wrapText="1"/>
      <protection locked="0"/>
    </xf>
    <xf numFmtId="0" fontId="9" fillId="8" borderId="96" xfId="4" applyFont="1" applyFill="1" applyBorder="1" applyAlignment="1" applyProtection="1">
      <alignment horizontal="center" vertical="center" wrapText="1"/>
      <protection locked="0"/>
    </xf>
    <xf numFmtId="0" fontId="1" fillId="0" borderId="42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20" fillId="9" borderId="64" xfId="0" applyFont="1" applyFill="1" applyBorder="1" applyAlignment="1">
      <alignment horizontal="left" vertical="center" wrapText="1"/>
    </xf>
    <xf numFmtId="0" fontId="20" fillId="9" borderId="8" xfId="0" applyFont="1" applyFill="1" applyBorder="1" applyAlignment="1">
      <alignment horizontal="left" vertical="center" wrapText="1"/>
    </xf>
    <xf numFmtId="0" fontId="20" fillId="9" borderId="65" xfId="0" applyFont="1" applyFill="1" applyBorder="1" applyAlignment="1">
      <alignment horizontal="left" vertical="center" wrapText="1"/>
    </xf>
    <xf numFmtId="0" fontId="23" fillId="2" borderId="32" xfId="4" applyFont="1" applyFill="1" applyBorder="1" applyAlignment="1" applyProtection="1">
      <alignment horizontal="left" vertical="center" wrapText="1"/>
      <protection locked="0"/>
    </xf>
    <xf numFmtId="0" fontId="23" fillId="2" borderId="33" xfId="4" applyFont="1" applyFill="1" applyBorder="1" applyAlignment="1" applyProtection="1">
      <alignment horizontal="left" vertical="center" wrapText="1"/>
      <protection locked="0"/>
    </xf>
    <xf numFmtId="0" fontId="21" fillId="2" borderId="77" xfId="4" applyFont="1" applyFill="1" applyBorder="1" applyAlignment="1" applyProtection="1">
      <alignment horizontal="left" vertical="center" wrapText="1"/>
      <protection locked="0"/>
    </xf>
    <xf numFmtId="0" fontId="21" fillId="2" borderId="0" xfId="4" applyFont="1" applyFill="1" applyAlignment="1" applyProtection="1">
      <alignment horizontal="left" vertical="center" wrapText="1"/>
      <protection locked="0"/>
    </xf>
    <xf numFmtId="0" fontId="1" fillId="9" borderId="84" xfId="0" applyFont="1" applyFill="1" applyBorder="1" applyAlignment="1">
      <alignment horizontal="center" vertical="center" wrapText="1"/>
    </xf>
    <xf numFmtId="0" fontId="1" fillId="9" borderId="85" xfId="0" applyFont="1" applyFill="1" applyBorder="1" applyAlignment="1">
      <alignment horizontal="center" vertical="center" wrapText="1"/>
    </xf>
    <xf numFmtId="0" fontId="20" fillId="9" borderId="59" xfId="0" applyFont="1" applyFill="1" applyBorder="1" applyAlignment="1">
      <alignment horizontal="center" vertical="center" wrapText="1"/>
    </xf>
    <xf numFmtId="0" fontId="20" fillId="9" borderId="60" xfId="0" applyFont="1" applyFill="1" applyBorder="1" applyAlignment="1">
      <alignment horizontal="center" vertical="center" wrapText="1"/>
    </xf>
    <xf numFmtId="0" fontId="20" fillId="9" borderId="109" xfId="0" applyFont="1" applyFill="1" applyBorder="1" applyAlignment="1">
      <alignment horizontal="center" vertical="center" wrapText="1"/>
    </xf>
    <xf numFmtId="0" fontId="9" fillId="8" borderId="42" xfId="4" applyFont="1" applyFill="1" applyBorder="1" applyAlignment="1" applyProtection="1">
      <alignment horizontal="center" vertical="center" wrapText="1"/>
      <protection locked="0"/>
    </xf>
    <xf numFmtId="0" fontId="9" fillId="8" borderId="43" xfId="4" applyFont="1" applyFill="1" applyBorder="1" applyAlignment="1" applyProtection="1">
      <alignment horizontal="center" vertical="center" wrapText="1"/>
      <protection locked="0"/>
    </xf>
    <xf numFmtId="0" fontId="9" fillId="8" borderId="21" xfId="4" applyFont="1" applyFill="1" applyBorder="1" applyAlignment="1" applyProtection="1">
      <alignment horizontal="center" vertical="center" wrapText="1"/>
      <protection locked="0"/>
    </xf>
    <xf numFmtId="164" fontId="4" fillId="9" borderId="13" xfId="0" applyNumberFormat="1" applyFont="1" applyFill="1" applyBorder="1" applyAlignment="1">
      <alignment horizontal="left" vertical="center" wrapText="1"/>
    </xf>
    <xf numFmtId="164" fontId="4" fillId="9" borderId="92" xfId="0" applyNumberFormat="1" applyFont="1" applyFill="1" applyBorder="1" applyAlignment="1">
      <alignment horizontal="left" vertical="center" wrapText="1"/>
    </xf>
    <xf numFmtId="0" fontId="21" fillId="2" borderId="40" xfId="4" applyFont="1" applyFill="1" applyBorder="1" applyAlignment="1" applyProtection="1">
      <alignment horizontal="center" vertical="center" wrapText="1"/>
      <protection locked="0"/>
    </xf>
    <xf numFmtId="164" fontId="20" fillId="9" borderId="25" xfId="0" applyNumberFormat="1" applyFont="1" applyFill="1" applyBorder="1" applyAlignment="1">
      <alignment horizontal="center" vertical="center" wrapText="1"/>
    </xf>
    <xf numFmtId="0" fontId="21" fillId="2" borderId="32" xfId="4" applyFont="1" applyFill="1" applyBorder="1" applyAlignment="1" applyProtection="1">
      <alignment horizontal="center" vertical="center" wrapText="1"/>
      <protection locked="0"/>
    </xf>
    <xf numFmtId="0" fontId="21" fillId="2" borderId="33" xfId="4" applyFont="1" applyFill="1" applyBorder="1" applyAlignment="1" applyProtection="1">
      <alignment horizontal="center" vertical="center" wrapText="1"/>
      <protection locked="0"/>
    </xf>
    <xf numFmtId="0" fontId="21" fillId="2" borderId="22" xfId="4" applyFont="1" applyFill="1" applyBorder="1" applyAlignment="1" applyProtection="1">
      <alignment horizontal="center" vertical="center" wrapText="1"/>
      <protection locked="0"/>
    </xf>
    <xf numFmtId="164" fontId="20" fillId="9" borderId="77" xfId="0" applyNumberFormat="1" applyFont="1" applyFill="1" applyBorder="1" applyAlignment="1">
      <alignment horizontal="left" vertical="center" wrapText="1"/>
    </xf>
    <xf numFmtId="164" fontId="20" fillId="9" borderId="0" xfId="0" applyNumberFormat="1" applyFont="1" applyFill="1" applyAlignment="1">
      <alignment horizontal="left" vertical="center" wrapText="1"/>
    </xf>
    <xf numFmtId="164" fontId="20" fillId="9" borderId="40" xfId="0" applyNumberFormat="1" applyFont="1" applyFill="1" applyBorder="1" applyAlignment="1">
      <alignment horizontal="left" vertical="center" wrapText="1"/>
    </xf>
    <xf numFmtId="0" fontId="21" fillId="2" borderId="82" xfId="3" applyFont="1" applyFill="1" applyBorder="1" applyAlignment="1" applyProtection="1">
      <alignment horizontal="center" vertical="center" wrapText="1"/>
      <protection locked="0"/>
    </xf>
    <xf numFmtId="0" fontId="21" fillId="2" borderId="0" xfId="3" applyFont="1" applyFill="1" applyAlignment="1" applyProtection="1">
      <alignment horizontal="center" vertical="center" wrapText="1"/>
      <protection locked="0"/>
    </xf>
    <xf numFmtId="0" fontId="21" fillId="2" borderId="40" xfId="3" applyFont="1" applyFill="1" applyBorder="1" applyAlignment="1" applyProtection="1">
      <alignment horizontal="center" vertical="center" wrapText="1"/>
      <protection locked="0"/>
    </xf>
    <xf numFmtId="0" fontId="1" fillId="11" borderId="32" xfId="0" applyFont="1" applyFill="1" applyBorder="1" applyAlignment="1">
      <alignment horizontal="center" vertical="center" wrapText="1"/>
    </xf>
    <xf numFmtId="0" fontId="1" fillId="11" borderId="33" xfId="0" applyFont="1" applyFill="1" applyBorder="1" applyAlignment="1">
      <alignment horizontal="center" vertical="center" wrapText="1"/>
    </xf>
    <xf numFmtId="0" fontId="1" fillId="11" borderId="25" xfId="0" applyFont="1" applyFill="1" applyBorder="1" applyAlignment="1">
      <alignment horizontal="center" vertical="center" wrapText="1"/>
    </xf>
    <xf numFmtId="0" fontId="1" fillId="11" borderId="77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1" fillId="11" borderId="40" xfId="0" applyFont="1" applyFill="1" applyBorder="1" applyAlignment="1">
      <alignment horizontal="center" vertical="center" wrapText="1"/>
    </xf>
    <xf numFmtId="0" fontId="33" fillId="11" borderId="44" xfId="3" applyFont="1" applyFill="1" applyBorder="1" applyAlignment="1" applyProtection="1">
      <alignment horizontal="center" vertical="center" wrapText="1"/>
      <protection locked="0"/>
    </xf>
    <xf numFmtId="0" fontId="20" fillId="11" borderId="32" xfId="3" applyFont="1" applyFill="1" applyBorder="1" applyAlignment="1" applyProtection="1">
      <alignment horizontal="center" vertical="center" wrapText="1"/>
      <protection locked="0"/>
    </xf>
    <xf numFmtId="0" fontId="20" fillId="11" borderId="33" xfId="3" applyFont="1" applyFill="1" applyBorder="1" applyAlignment="1" applyProtection="1">
      <alignment horizontal="center" vertical="center" wrapText="1"/>
      <protection locked="0"/>
    </xf>
    <xf numFmtId="0" fontId="20" fillId="11" borderId="25" xfId="3" applyFont="1" applyFill="1" applyBorder="1" applyAlignment="1" applyProtection="1">
      <alignment horizontal="center" vertical="center" wrapText="1"/>
      <protection locked="0"/>
    </xf>
    <xf numFmtId="0" fontId="21" fillId="2" borderId="52" xfId="3" applyFont="1" applyFill="1" applyBorder="1" applyAlignment="1" applyProtection="1">
      <alignment horizontal="center" vertical="center" wrapText="1"/>
      <protection locked="0"/>
    </xf>
    <xf numFmtId="0" fontId="21" fillId="2" borderId="23" xfId="3" applyFont="1" applyFill="1" applyBorder="1" applyAlignment="1" applyProtection="1">
      <alignment horizontal="center" vertical="center" wrapText="1"/>
      <protection locked="0"/>
    </xf>
    <xf numFmtId="0" fontId="21" fillId="2" borderId="53" xfId="3" applyFont="1" applyFill="1" applyBorder="1" applyAlignment="1" applyProtection="1">
      <alignment horizontal="center" vertical="center" wrapText="1"/>
      <protection locked="0"/>
    </xf>
    <xf numFmtId="164" fontId="20" fillId="9" borderId="30" xfId="0" applyNumberFormat="1" applyFont="1" applyFill="1" applyBorder="1" applyAlignment="1">
      <alignment horizontal="center" vertical="center" wrapText="1"/>
    </xf>
    <xf numFmtId="164" fontId="20" fillId="9" borderId="31" xfId="0" applyNumberFormat="1" applyFont="1" applyFill="1" applyBorder="1" applyAlignment="1">
      <alignment horizontal="center" vertical="center" wrapText="1"/>
    </xf>
    <xf numFmtId="0" fontId="20" fillId="9" borderId="43" xfId="0" applyFont="1" applyFill="1" applyBorder="1" applyAlignment="1">
      <alignment horizontal="center" vertical="center"/>
    </xf>
    <xf numFmtId="0" fontId="20" fillId="9" borderId="21" xfId="0" applyFont="1" applyFill="1" applyBorder="1" applyAlignment="1">
      <alignment horizontal="center" vertical="center"/>
    </xf>
    <xf numFmtId="0" fontId="20" fillId="9" borderId="33" xfId="0" applyFont="1" applyFill="1" applyBorder="1" applyAlignment="1">
      <alignment horizontal="center" vertical="center"/>
    </xf>
    <xf numFmtId="0" fontId="20" fillId="9" borderId="25" xfId="0" applyFont="1" applyFill="1" applyBorder="1" applyAlignment="1">
      <alignment horizontal="center" vertical="center"/>
    </xf>
    <xf numFmtId="0" fontId="14" fillId="8" borderId="55" xfId="4" applyFont="1" applyFill="1" applyBorder="1" applyAlignment="1" applyProtection="1">
      <alignment horizontal="center" vertical="center" wrapText="1"/>
      <protection locked="0"/>
    </xf>
    <xf numFmtId="0" fontId="14" fillId="8" borderId="56" xfId="4" applyFont="1" applyFill="1" applyBorder="1" applyAlignment="1" applyProtection="1">
      <alignment horizontal="center" vertical="center" wrapText="1"/>
      <protection locked="0"/>
    </xf>
    <xf numFmtId="0" fontId="14" fillId="8" borderId="58" xfId="4" applyFont="1" applyFill="1" applyBorder="1" applyAlignment="1" applyProtection="1">
      <alignment horizontal="center" vertical="center" wrapText="1"/>
      <protection locked="0"/>
    </xf>
    <xf numFmtId="164" fontId="20" fillId="9" borderId="60" xfId="0" applyNumberFormat="1" applyFont="1" applyFill="1" applyBorder="1" applyAlignment="1">
      <alignment horizontal="center"/>
    </xf>
    <xf numFmtId="164" fontId="20" fillId="9" borderId="68" xfId="0" applyNumberFormat="1" applyFont="1" applyFill="1" applyBorder="1" applyAlignment="1">
      <alignment horizontal="center"/>
    </xf>
    <xf numFmtId="0" fontId="20" fillId="9" borderId="83" xfId="0" applyFont="1" applyFill="1" applyBorder="1" applyAlignment="1">
      <alignment horizontal="left" vertical="center" wrapText="1"/>
    </xf>
    <xf numFmtId="0" fontId="20" fillId="9" borderId="0" xfId="0" applyFont="1" applyFill="1" applyAlignment="1">
      <alignment horizontal="left" vertical="center" wrapText="1"/>
    </xf>
    <xf numFmtId="0" fontId="20" fillId="9" borderId="40" xfId="0" applyFont="1" applyFill="1" applyBorder="1" applyAlignment="1">
      <alignment horizontal="left" vertical="center" wrapText="1"/>
    </xf>
    <xf numFmtId="0" fontId="1" fillId="9" borderId="8" xfId="0" applyFont="1" applyFill="1" applyBorder="1" applyAlignment="1">
      <alignment horizontal="center" vertical="center" wrapText="1"/>
    </xf>
    <xf numFmtId="0" fontId="1" fillId="9" borderId="65" xfId="0" applyFont="1" applyFill="1" applyBorder="1" applyAlignment="1">
      <alignment horizontal="center" vertical="center" wrapText="1"/>
    </xf>
    <xf numFmtId="0" fontId="21" fillId="2" borderId="83" xfId="3" applyFont="1" applyFill="1" applyBorder="1" applyAlignment="1" applyProtection="1">
      <alignment horizontal="center" vertical="center" wrapText="1"/>
      <protection locked="0"/>
    </xf>
    <xf numFmtId="0" fontId="21" fillId="2" borderId="114" xfId="3" applyFont="1" applyFill="1" applyBorder="1" applyAlignment="1" applyProtection="1">
      <alignment horizontal="left" vertical="center" wrapText="1"/>
      <protection locked="0"/>
    </xf>
    <xf numFmtId="0" fontId="21" fillId="2" borderId="115" xfId="3" applyFont="1" applyFill="1" applyBorder="1" applyAlignment="1" applyProtection="1">
      <alignment horizontal="left" vertical="center" wrapText="1"/>
      <protection locked="0"/>
    </xf>
    <xf numFmtId="0" fontId="21" fillId="2" borderId="67" xfId="3" applyFont="1" applyFill="1" applyBorder="1" applyAlignment="1" applyProtection="1">
      <alignment horizontal="left" vertical="center" wrapText="1"/>
      <protection locked="0"/>
    </xf>
    <xf numFmtId="0" fontId="21" fillId="2" borderId="74" xfId="3" applyFont="1" applyFill="1" applyBorder="1" applyAlignment="1" applyProtection="1">
      <alignment horizontal="center" vertical="center" wrapText="1"/>
      <protection locked="0"/>
    </xf>
    <xf numFmtId="0" fontId="21" fillId="2" borderId="75" xfId="3" applyFont="1" applyFill="1" applyBorder="1" applyAlignment="1" applyProtection="1">
      <alignment horizontal="center" vertical="center" wrapText="1"/>
      <protection locked="0"/>
    </xf>
    <xf numFmtId="0" fontId="20" fillId="9" borderId="77" xfId="0" applyFont="1" applyFill="1" applyBorder="1" applyAlignment="1">
      <alignment horizontal="left" vertical="center" wrapText="1"/>
    </xf>
    <xf numFmtId="0" fontId="21" fillId="2" borderId="32" xfId="4" applyFont="1" applyFill="1" applyBorder="1" applyAlignment="1" applyProtection="1">
      <alignment vertical="center" wrapText="1"/>
      <protection locked="0"/>
    </xf>
    <xf numFmtId="0" fontId="21" fillId="2" borderId="33" xfId="4" applyFont="1" applyFill="1" applyBorder="1" applyAlignment="1" applyProtection="1">
      <alignment vertical="center" wrapText="1"/>
      <protection locked="0"/>
    </xf>
    <xf numFmtId="0" fontId="21" fillId="2" borderId="25" xfId="4" applyFont="1" applyFill="1" applyBorder="1" applyAlignment="1" applyProtection="1">
      <alignment vertical="center" wrapText="1"/>
      <protection locked="0"/>
    </xf>
    <xf numFmtId="0" fontId="21" fillId="2" borderId="50" xfId="4" applyFont="1" applyFill="1" applyBorder="1" applyAlignment="1" applyProtection="1">
      <alignment horizontal="left" vertical="center" wrapText="1"/>
      <protection locked="0"/>
    </xf>
    <xf numFmtId="0" fontId="21" fillId="2" borderId="99" xfId="4" applyFont="1" applyFill="1" applyBorder="1" applyAlignment="1" applyProtection="1">
      <alignment horizontal="left" vertical="center" wrapText="1"/>
      <protection locked="0"/>
    </xf>
    <xf numFmtId="0" fontId="21" fillId="2" borderId="103" xfId="4" applyFont="1" applyFill="1" applyBorder="1" applyAlignment="1" applyProtection="1">
      <alignment horizontal="left" vertical="center" wrapText="1"/>
      <protection locked="0"/>
    </xf>
    <xf numFmtId="0" fontId="21" fillId="2" borderId="100" xfId="4" applyFont="1" applyFill="1" applyBorder="1" applyAlignment="1" applyProtection="1">
      <alignment horizontal="left" vertical="center" wrapText="1"/>
      <protection locked="0"/>
    </xf>
    <xf numFmtId="0" fontId="21" fillId="2" borderId="97" xfId="4" applyFont="1" applyFill="1" applyBorder="1" applyAlignment="1" applyProtection="1">
      <alignment horizontal="left" vertical="center" wrapText="1"/>
      <protection locked="0"/>
    </xf>
    <xf numFmtId="0" fontId="21" fillId="2" borderId="107" xfId="4" applyFont="1" applyFill="1" applyBorder="1" applyAlignment="1" applyProtection="1">
      <alignment horizontal="left" vertical="center" wrapText="1"/>
      <protection locked="0"/>
    </xf>
    <xf numFmtId="0" fontId="21" fillId="2" borderId="101" xfId="4" applyFont="1" applyFill="1" applyBorder="1" applyAlignment="1" applyProtection="1">
      <alignment horizontal="left" vertical="center" wrapText="1"/>
      <protection locked="0"/>
    </xf>
    <xf numFmtId="0" fontId="21" fillId="2" borderId="102" xfId="4" applyFont="1" applyFill="1" applyBorder="1" applyAlignment="1" applyProtection="1">
      <alignment horizontal="left" vertical="center" wrapText="1"/>
      <protection locked="0"/>
    </xf>
    <xf numFmtId="0" fontId="21" fillId="2" borderId="106" xfId="4" applyFont="1" applyFill="1" applyBorder="1" applyAlignment="1" applyProtection="1">
      <alignment horizontal="left" vertical="center" wrapText="1"/>
      <protection locked="0"/>
    </xf>
    <xf numFmtId="0" fontId="21" fillId="2" borderId="104" xfId="4" applyFont="1" applyFill="1" applyBorder="1" applyAlignment="1" applyProtection="1">
      <alignment horizontal="left" vertical="center" wrapText="1"/>
      <protection locked="0"/>
    </xf>
    <xf numFmtId="0" fontId="21" fillId="2" borderId="47" xfId="4" applyFont="1" applyFill="1" applyBorder="1" applyAlignment="1" applyProtection="1">
      <alignment horizontal="left" vertical="center" wrapText="1"/>
      <protection locked="0"/>
    </xf>
    <xf numFmtId="0" fontId="21" fillId="2" borderId="105" xfId="4" applyFont="1" applyFill="1" applyBorder="1" applyAlignment="1" applyProtection="1">
      <alignment horizontal="left" vertical="center" wrapText="1"/>
      <protection locked="0"/>
    </xf>
    <xf numFmtId="164" fontId="20" fillId="9" borderId="30" xfId="0" applyNumberFormat="1" applyFont="1" applyFill="1" applyBorder="1" applyAlignment="1">
      <alignment horizontal="center" vertical="center"/>
    </xf>
    <xf numFmtId="164" fontId="20" fillId="9" borderId="31" xfId="0" applyNumberFormat="1" applyFont="1" applyFill="1" applyBorder="1" applyAlignment="1">
      <alignment horizontal="center" vertical="center"/>
    </xf>
    <xf numFmtId="164" fontId="20" fillId="9" borderId="43" xfId="0" applyNumberFormat="1" applyFont="1" applyFill="1" applyBorder="1" applyAlignment="1">
      <alignment horizontal="center" vertical="center"/>
    </xf>
    <xf numFmtId="164" fontId="20" fillId="9" borderId="21" xfId="0" applyNumberFormat="1" applyFont="1" applyFill="1" applyBorder="1" applyAlignment="1">
      <alignment horizontal="center" vertical="center"/>
    </xf>
    <xf numFmtId="164" fontId="20" fillId="9" borderId="33" xfId="0" applyNumberFormat="1" applyFont="1" applyFill="1" applyBorder="1" applyAlignment="1">
      <alignment horizontal="center" vertical="center"/>
    </xf>
    <xf numFmtId="164" fontId="20" fillId="9" borderId="25" xfId="0" applyNumberFormat="1" applyFont="1" applyFill="1" applyBorder="1" applyAlignment="1">
      <alignment horizontal="center" vertical="center"/>
    </xf>
    <xf numFmtId="164" fontId="36" fillId="9" borderId="43" xfId="0" applyNumberFormat="1" applyFont="1" applyFill="1" applyBorder="1" applyAlignment="1">
      <alignment horizontal="center" vertical="center"/>
    </xf>
    <xf numFmtId="164" fontId="36" fillId="9" borderId="21" xfId="0" applyNumberFormat="1" applyFont="1" applyFill="1" applyBorder="1" applyAlignment="1">
      <alignment horizontal="center" vertical="center"/>
    </xf>
    <xf numFmtId="164" fontId="36" fillId="9" borderId="33" xfId="0" applyNumberFormat="1" applyFont="1" applyFill="1" applyBorder="1" applyAlignment="1">
      <alignment horizontal="center" vertical="center"/>
    </xf>
    <xf numFmtId="164" fontId="36" fillId="9" borderId="25" xfId="0" applyNumberFormat="1" applyFont="1" applyFill="1" applyBorder="1" applyAlignment="1">
      <alignment horizontal="center" vertical="center"/>
    </xf>
    <xf numFmtId="164" fontId="36" fillId="9" borderId="30" xfId="0" applyNumberFormat="1" applyFont="1" applyFill="1" applyBorder="1" applyAlignment="1">
      <alignment horizontal="center" vertical="center"/>
    </xf>
    <xf numFmtId="164" fontId="36" fillId="9" borderId="31" xfId="0" applyNumberFormat="1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21" fillId="2" borderId="50" xfId="4" applyFont="1" applyFill="1" applyBorder="1" applyAlignment="1" applyProtection="1">
      <alignment vertical="center" wrapText="1"/>
      <protection locked="0"/>
    </xf>
    <xf numFmtId="0" fontId="21" fillId="2" borderId="99" xfId="4" applyFont="1" applyFill="1" applyBorder="1" applyAlignment="1" applyProtection="1">
      <alignment vertical="center" wrapText="1"/>
      <protection locked="0"/>
    </xf>
    <xf numFmtId="0" fontId="21" fillId="2" borderId="103" xfId="4" applyFont="1" applyFill="1" applyBorder="1" applyAlignment="1" applyProtection="1">
      <alignment vertical="center" wrapText="1"/>
      <protection locked="0"/>
    </xf>
    <xf numFmtId="0" fontId="13" fillId="9" borderId="0" xfId="0" applyFont="1" applyFill="1" applyAlignment="1">
      <alignment horizontal="center"/>
    </xf>
    <xf numFmtId="0" fontId="13" fillId="9" borderId="40" xfId="0" applyFont="1" applyFill="1" applyBorder="1" applyAlignment="1">
      <alignment horizontal="center"/>
    </xf>
    <xf numFmtId="0" fontId="13" fillId="9" borderId="90" xfId="0" applyFont="1" applyFill="1" applyBorder="1" applyAlignment="1">
      <alignment horizontal="center"/>
    </xf>
    <xf numFmtId="0" fontId="13" fillId="9" borderId="13" xfId="0" applyFont="1" applyFill="1" applyBorder="1" applyAlignment="1">
      <alignment horizontal="center"/>
    </xf>
    <xf numFmtId="0" fontId="13" fillId="9" borderId="92" xfId="0" applyFont="1" applyFill="1" applyBorder="1" applyAlignment="1">
      <alignment horizontal="center"/>
    </xf>
    <xf numFmtId="0" fontId="21" fillId="2" borderId="32" xfId="0" applyFont="1" applyFill="1" applyBorder="1" applyAlignment="1">
      <alignment horizontal="center" vertical="center" wrapText="1"/>
    </xf>
    <xf numFmtId="0" fontId="21" fillId="2" borderId="33" xfId="0" applyFont="1" applyFill="1" applyBorder="1" applyAlignment="1">
      <alignment horizontal="center" vertical="center" wrapText="1"/>
    </xf>
    <xf numFmtId="0" fontId="9" fillId="2" borderId="21" xfId="4" applyFont="1" applyFill="1" applyBorder="1" applyAlignment="1" applyProtection="1">
      <alignment horizontal="left" vertical="center" wrapText="1"/>
      <protection locked="0"/>
    </xf>
    <xf numFmtId="0" fontId="1" fillId="0" borderId="77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40" xfId="0" applyFont="1" applyBorder="1" applyAlignment="1">
      <alignment horizontal="left" vertical="center" wrapText="1"/>
    </xf>
    <xf numFmtId="0" fontId="1" fillId="0" borderId="69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70" xfId="0" applyFont="1" applyBorder="1" applyAlignment="1">
      <alignment horizontal="left" vertical="center" wrapText="1"/>
    </xf>
    <xf numFmtId="0" fontId="1" fillId="0" borderId="84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center" wrapText="1"/>
    </xf>
    <xf numFmtId="0" fontId="21" fillId="2" borderId="25" xfId="0" applyFont="1" applyFill="1" applyBorder="1" applyAlignment="1">
      <alignment horizontal="center" vertical="center" wrapText="1"/>
    </xf>
    <xf numFmtId="0" fontId="9" fillId="8" borderId="74" xfId="4" applyFont="1" applyFill="1" applyBorder="1" applyAlignment="1" applyProtection="1">
      <alignment horizontal="center" vertical="center" wrapText="1"/>
      <protection locked="0"/>
    </xf>
    <xf numFmtId="0" fontId="9" fillId="8" borderId="75" xfId="4" applyFont="1" applyFill="1" applyBorder="1" applyAlignment="1" applyProtection="1">
      <alignment horizontal="center" vertical="center" wrapText="1"/>
      <protection locked="0"/>
    </xf>
    <xf numFmtId="0" fontId="9" fillId="8" borderId="76" xfId="4" applyFont="1" applyFill="1" applyBorder="1" applyAlignment="1" applyProtection="1">
      <alignment horizontal="center" vertical="center" wrapText="1"/>
      <protection locked="0"/>
    </xf>
    <xf numFmtId="0" fontId="24" fillId="9" borderId="0" xfId="0" applyFont="1" applyFill="1" applyAlignment="1">
      <alignment horizontal="center" vertical="top" wrapText="1"/>
    </xf>
    <xf numFmtId="0" fontId="24" fillId="9" borderId="40" xfId="0" applyFont="1" applyFill="1" applyBorder="1" applyAlignment="1">
      <alignment horizontal="center" vertical="top" wrapText="1"/>
    </xf>
    <xf numFmtId="0" fontId="13" fillId="9" borderId="108" xfId="0" applyFont="1" applyFill="1" applyBorder="1" applyAlignment="1">
      <alignment horizontal="center" vertical="center"/>
    </xf>
    <xf numFmtId="0" fontId="13" fillId="9" borderId="33" xfId="0" applyFont="1" applyFill="1" applyBorder="1" applyAlignment="1">
      <alignment horizontal="center" vertical="center"/>
    </xf>
    <xf numFmtId="0" fontId="13" fillId="9" borderId="25" xfId="0" applyFont="1" applyFill="1" applyBorder="1" applyAlignment="1">
      <alignment horizontal="center" vertical="center"/>
    </xf>
    <xf numFmtId="0" fontId="14" fillId="8" borderId="6" xfId="3" applyFont="1" applyFill="1" applyBorder="1" applyAlignment="1" applyProtection="1">
      <alignment horizontal="center" vertical="center" wrapText="1"/>
      <protection locked="0"/>
    </xf>
    <xf numFmtId="164" fontId="24" fillId="9" borderId="9" xfId="0" applyNumberFormat="1" applyFont="1" applyFill="1" applyBorder="1" applyAlignment="1">
      <alignment horizontal="left"/>
    </xf>
    <xf numFmtId="0" fontId="13" fillId="9" borderId="18" xfId="0" applyFont="1" applyFill="1" applyBorder="1" applyAlignment="1">
      <alignment horizontal="center" vertical="center"/>
    </xf>
    <xf numFmtId="0" fontId="13" fillId="9" borderId="17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center" vertical="center"/>
    </xf>
    <xf numFmtId="0" fontId="13" fillId="9" borderId="16" xfId="0" applyFont="1" applyFill="1" applyBorder="1" applyAlignment="1">
      <alignment horizontal="center"/>
    </xf>
    <xf numFmtId="0" fontId="24" fillId="9" borderId="0" xfId="0" applyFont="1" applyFill="1" applyAlignment="1">
      <alignment horizontal="left" vertical="top" wrapText="1"/>
    </xf>
    <xf numFmtId="0" fontId="1" fillId="3" borderId="32" xfId="0" applyFont="1" applyFill="1" applyBorder="1" applyAlignment="1">
      <alignment horizontal="left" vertical="center" wrapText="1"/>
    </xf>
    <xf numFmtId="0" fontId="1" fillId="3" borderId="33" xfId="0" applyFont="1" applyFill="1" applyBorder="1" applyAlignment="1">
      <alignment horizontal="left" vertical="center" wrapText="1"/>
    </xf>
    <xf numFmtId="0" fontId="27" fillId="3" borderId="42" xfId="0" applyFont="1" applyFill="1" applyBorder="1" applyAlignment="1">
      <alignment horizontal="center" vertical="center" wrapText="1"/>
    </xf>
    <xf numFmtId="0" fontId="13" fillId="9" borderId="69" xfId="0" applyFont="1" applyFill="1" applyBorder="1" applyAlignment="1">
      <alignment horizontal="center"/>
    </xf>
    <xf numFmtId="0" fontId="13" fillId="9" borderId="17" xfId="0" applyFont="1" applyFill="1" applyBorder="1" applyAlignment="1">
      <alignment horizontal="center"/>
    </xf>
    <xf numFmtId="0" fontId="13" fillId="9" borderId="19" xfId="0" applyFont="1" applyFill="1" applyBorder="1" applyAlignment="1">
      <alignment horizontal="center"/>
    </xf>
    <xf numFmtId="0" fontId="13" fillId="9" borderId="18" xfId="0" applyFont="1" applyFill="1" applyBorder="1" applyAlignment="1">
      <alignment horizontal="center"/>
    </xf>
    <xf numFmtId="0" fontId="13" fillId="9" borderId="70" xfId="0" applyFont="1" applyFill="1" applyBorder="1" applyAlignment="1">
      <alignment horizontal="center"/>
    </xf>
    <xf numFmtId="0" fontId="12" fillId="2" borderId="44" xfId="3" applyFont="1" applyFill="1" applyBorder="1" applyAlignment="1" applyProtection="1">
      <alignment horizontal="center" vertical="center" wrapText="1"/>
      <protection locked="0"/>
    </xf>
  </cellXfs>
  <cellStyles count="5">
    <cellStyle name="Normal" xfId="0" builtinId="0"/>
    <cellStyle name="Normal 2" xfId="2" xr:uid="{EA394430-CE56-4DA8-AC64-113918A66672}"/>
    <cellStyle name="Normale 2" xfId="3" xr:uid="{B71ABB7F-0AC7-4662-9708-1DDAB2312A8B}"/>
    <cellStyle name="Normale 2 2" xfId="4" xr:uid="{77EE27E9-7E32-450A-98FA-6557133FC7D9}"/>
    <cellStyle name="Normale 3" xfId="1" xr:uid="{2ECF8155-C4D2-4BC4-AC75-3C0AE0143E25}"/>
  </cellStyles>
  <dxfs count="0"/>
  <tableStyles count="0" defaultTableStyle="TableStyleMedium2" defaultPivotStyle="PivotStyleLight16"/>
  <colors>
    <mruColors>
      <color rgb="FF00B4E4"/>
      <color rgb="FFEA8651"/>
      <color rgb="FF333333"/>
      <color rgb="FF0074A2"/>
      <color rgb="FFDAD9D6"/>
      <color rgb="FFB1DE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lvira Presti" id="{797E4585-49EE-4D4D-8D05-DA7C16F5A54D}" userId="S::elvira.presti@inpeco.com::52aa46f6-9dc5-4e5b-88c4-2f92348dbd7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5" dT="2026-04-16T15:07:04.54" personId="{797E4585-49EE-4D4D-8D05-DA7C16F5A54D}" id="{8DD7DFA0-5953-4E20-A4EA-4315D40D0690}">
    <text>Necessario coinvolgere anche Produzione e Supplier Quality</text>
  </threadedComment>
  <threadedComment ref="A5" dT="2026-05-22T13:37:19.92" personId="{797E4585-49EE-4D4D-8D05-DA7C16F5A54D}" id="{70BFED55-A1B5-43ED-95B5-DCFA098B270B}" parentId="{8DD7DFA0-5953-4E20-A4EA-4315D40D0690}">
    <text>Possiamo evitare il PPTX almeno per il team e le informazioni che vanno qui per forza?</text>
  </threadedComment>
  <threadedComment ref="A15" dT="2026-04-16T15:08:04.74" personId="{797E4585-49EE-4D4D-8D05-DA7C16F5A54D}" id="{9B3E1865-2272-41E4-A5F3-FE6972DF0569}">
    <text>Da tenere?</text>
  </threadedComment>
  <threadedComment ref="A26" dT="2026-05-05T10:24:16.03" personId="{797E4585-49EE-4D4D-8D05-DA7C16F5A54D}" id="{FB8351EC-3D42-4A22-8CA6-75D43EC7C732}">
    <text>Secondo me è importante riportare qui e non nel power point l’informazione essendo che questa sarà la review approvata</text>
  </threadedComment>
  <threadedComment ref="A29" dT="2026-05-22T14:26:11.22" personId="{797E4585-49EE-4D4D-8D05-DA7C16F5A54D}" id="{F302CAE2-7753-4C1E-8D66-106081123784}">
    <text>Vogliamo lasciare citati I nomi dei template?</text>
  </threadedComment>
  <threadedComment ref="A31" dT="2026-05-22T13:33:46.63" personId="{797E4585-49EE-4D4D-8D05-DA7C16F5A54D}" id="{01BC8B5A-F3BF-457B-A825-6047AA108E0E}">
    <text>Propongo di spostarla qui invece che avere un foglio dedicato o no?</text>
  </threadedComment>
  <threadedComment ref="A31" dT="2026-05-22T13:34:01.68" personId="{797E4585-49EE-4D4D-8D05-DA7C16F5A54D}" id="{7153AD9C-5F4B-4BA8-AE20-8176FEC8CFBC}" parentId="{01BC8B5A-F3BF-457B-A825-6047AA108E0E}">
    <text>Nel caso reintrodurre le righe di prima</text>
  </threadedComment>
  <threadedComment ref="A50" dT="2026-05-22T14:01:01.65" personId="{797E4585-49EE-4D4D-8D05-DA7C16F5A54D}" id="{E3438FD1-52F0-40DE-AE75-46F58B744A67}">
    <text>Cosa ne pensate? Alla fine serve anche per capire potenziale budget necessario</text>
  </threadedComment>
  <threadedComment ref="A55" dT="2026-05-05T10:26:01.43" personId="{797E4585-49EE-4D4D-8D05-DA7C16F5A54D}" id="{ABB2E6C3-D799-41BD-9C2C-4BE6127DB91B}">
    <text>Secondo me qui è importante riportare l’informazione essendo che questa sarà la review approvata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59D4E2-B9BE-4451-8B3A-1B33B7723062}">
  <we:reference id="df76232d-21a6-4463-9d19-0518ac5aab5d" version="1.1.0.0" store="EXCatalog" storeType="EXCatalog"/>
  <we:alternateReferences>
    <we:reference id="WA200000556" version="1.1.0.0" store="" storeType="OMEX"/>
  </we:alternateReferences>
  <we:properties>
    <we:property name="documentId" value="&quot;733ce0e6-2494-4aaf-8d70-dc294d22508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1BFD-E434-4907-A1AB-FFF39E13F54D}">
  <sheetPr>
    <pageSetUpPr fitToPage="1"/>
  </sheetPr>
  <dimension ref="A1:J122"/>
  <sheetViews>
    <sheetView showGridLines="0" zoomScale="85" zoomScaleNormal="85" zoomScaleSheetLayoutView="85" zoomScalePageLayoutView="62" workbookViewId="0">
      <pane xSplit="3" ySplit="1" topLeftCell="D53" activePane="bottomRight" state="frozen"/>
      <selection pane="topRight" activeCell="E1" sqref="E1"/>
      <selection pane="bottomLeft" activeCell="A2" sqref="A2"/>
      <selection pane="bottomRight" activeCell="E53" sqref="E53"/>
    </sheetView>
  </sheetViews>
  <sheetFormatPr defaultColWidth="9.7109375" defaultRowHeight="18" outlineLevelCol="1"/>
  <cols>
    <col min="1" max="1" width="9.28515625" style="26" customWidth="1"/>
    <col min="2" max="2" width="15.7109375" style="26" customWidth="1"/>
    <col min="3" max="3" width="60.28515625" style="26" customWidth="1"/>
    <col min="4" max="4" width="23.42578125" style="58" customWidth="1"/>
    <col min="5" max="5" width="32.140625" style="58" customWidth="1"/>
    <col min="6" max="6" width="49.5703125" style="58" customWidth="1"/>
    <col min="7" max="7" width="27.140625" style="58" customWidth="1"/>
    <col min="8" max="8" width="37" style="58" customWidth="1" outlineLevel="1"/>
    <col min="9" max="9" width="24.7109375" style="26" customWidth="1"/>
    <col min="10" max="16384" width="9.7109375" style="26"/>
  </cols>
  <sheetData>
    <row r="1" spans="1:9" ht="90.75" thickBot="1">
      <c r="A1" s="77" t="s">
        <v>0</v>
      </c>
      <c r="B1" s="25" t="s">
        <v>41</v>
      </c>
      <c r="C1" s="78" t="s">
        <v>42</v>
      </c>
      <c r="D1" s="25" t="s">
        <v>1</v>
      </c>
      <c r="E1" s="25" t="s">
        <v>2</v>
      </c>
      <c r="F1" s="25" t="s">
        <v>43</v>
      </c>
      <c r="G1" s="25" t="s">
        <v>44</v>
      </c>
      <c r="H1" s="25" t="s">
        <v>45</v>
      </c>
      <c r="I1" s="25" t="s">
        <v>46</v>
      </c>
    </row>
    <row r="2" spans="1:9" s="30" customFormat="1" ht="75">
      <c r="A2" s="214" t="s">
        <v>322</v>
      </c>
      <c r="B2" s="125">
        <v>1</v>
      </c>
      <c r="C2" s="27" t="str">
        <f>B2&amp;". ANALYSIS PROJECT OPENING"</f>
        <v>1. ANALYSIS PROJECT OPENING</v>
      </c>
      <c r="D2" s="29" t="s">
        <v>47</v>
      </c>
      <c r="E2" s="126" t="s">
        <v>48</v>
      </c>
      <c r="F2" s="127" t="s">
        <v>49</v>
      </c>
      <c r="G2" s="28" t="s">
        <v>50</v>
      </c>
      <c r="H2" s="29" t="s">
        <v>51</v>
      </c>
      <c r="I2" s="128" t="s">
        <v>52</v>
      </c>
    </row>
    <row r="3" spans="1:9" s="30" customFormat="1" ht="75">
      <c r="A3" s="215"/>
      <c r="B3" s="41">
        <v>2</v>
      </c>
      <c r="C3" s="45" t="str">
        <f>B3&amp;". USER NEED COLLECTION
including Performance Claims"</f>
        <v>2. USER NEED COLLECTION
including Performance Claims</v>
      </c>
      <c r="D3" s="36" t="s">
        <v>3</v>
      </c>
      <c r="E3" s="40" t="s">
        <v>53</v>
      </c>
      <c r="F3" s="32" t="s">
        <v>317</v>
      </c>
      <c r="G3" s="39" t="s">
        <v>50</v>
      </c>
      <c r="H3" s="36" t="s">
        <v>51</v>
      </c>
      <c r="I3" s="129" t="s">
        <v>52</v>
      </c>
    </row>
    <row r="4" spans="1:9" s="1" customFormat="1" ht="60">
      <c r="A4" s="215"/>
      <c r="B4" s="41">
        <v>3</v>
      </c>
      <c r="C4" s="38" t="str">
        <f>B4&amp;". INTENDED USE COLLECTION 
including product scope, customer worflow and scenarios"</f>
        <v>3. INTENDED USE COLLECTION 
including product scope, customer worflow and scenarios</v>
      </c>
      <c r="D4" s="36" t="s">
        <v>3</v>
      </c>
      <c r="E4" s="31" t="s">
        <v>54</v>
      </c>
      <c r="F4" s="32" t="s">
        <v>330</v>
      </c>
      <c r="G4" s="39" t="s">
        <v>50</v>
      </c>
      <c r="H4" s="36" t="s">
        <v>51</v>
      </c>
      <c r="I4" s="129" t="s">
        <v>52</v>
      </c>
    </row>
    <row r="5" spans="1:9" s="1" customFormat="1" ht="60">
      <c r="A5" s="215"/>
      <c r="B5" s="41">
        <v>4</v>
      </c>
      <c r="C5" s="38" t="str">
        <f>B5&amp;". MARKET ANALYSIS &amp; TRANSLATION NEEDS COLLECTION 
including competitors, interested markets and areas, required translations based on product"</f>
        <v>4. MARKET ANALYSIS &amp; TRANSLATION NEEDS COLLECTION 
including competitors, interested markets and areas, required translations based on product</v>
      </c>
      <c r="D5" s="36" t="s">
        <v>3</v>
      </c>
      <c r="E5" s="31" t="s">
        <v>55</v>
      </c>
      <c r="F5" s="32" t="s">
        <v>331</v>
      </c>
      <c r="G5" s="39" t="s">
        <v>50</v>
      </c>
      <c r="H5" s="36" t="s">
        <v>51</v>
      </c>
      <c r="I5" s="129" t="s">
        <v>52</v>
      </c>
    </row>
    <row r="6" spans="1:9" s="1" customFormat="1" ht="45">
      <c r="A6" s="215"/>
      <c r="B6" s="41">
        <v>5</v>
      </c>
      <c r="C6" s="38" t="str">
        <f>B6&amp;". BUSINESS STRATEGY AND SALES FORECAST COLLECTION
Including «How to make money»"</f>
        <v>5. BUSINESS STRATEGY AND SALES FORECAST COLLECTION
Including «How to make money»</v>
      </c>
      <c r="D6" s="36" t="s">
        <v>6</v>
      </c>
      <c r="E6" s="35" t="s">
        <v>7</v>
      </c>
      <c r="F6" s="32" t="s">
        <v>523</v>
      </c>
      <c r="G6" s="39" t="s">
        <v>50</v>
      </c>
      <c r="H6" s="36" t="s">
        <v>51</v>
      </c>
      <c r="I6" s="129" t="s">
        <v>52</v>
      </c>
    </row>
    <row r="7" spans="1:9" s="1" customFormat="1" ht="45">
      <c r="A7" s="215"/>
      <c r="B7" s="41">
        <v>6</v>
      </c>
      <c r="C7" s="38" t="str">
        <f>B7&amp;". TARGET COST COLLECTION
including manufacturing, logistic, development and installation cost"</f>
        <v>6. TARGET COST COLLECTION
including manufacturing, logistic, development and installation cost</v>
      </c>
      <c r="D7" s="36" t="s">
        <v>3</v>
      </c>
      <c r="E7" s="35" t="s">
        <v>8</v>
      </c>
      <c r="F7" s="32" t="s">
        <v>332</v>
      </c>
      <c r="G7" s="39" t="s">
        <v>50</v>
      </c>
      <c r="H7" s="36" t="s">
        <v>51</v>
      </c>
      <c r="I7" s="129" t="s">
        <v>52</v>
      </c>
    </row>
    <row r="8" spans="1:9" s="1" customFormat="1" ht="120">
      <c r="A8" s="215"/>
      <c r="B8" s="41">
        <v>7</v>
      </c>
      <c r="C8" s="38" t="str">
        <f>B8&amp;". TICKET(S) COLLECTION"</f>
        <v>7. TICKET(S) COLLECTION</v>
      </c>
      <c r="D8" s="36" t="s">
        <v>9</v>
      </c>
      <c r="E8" s="40" t="s">
        <v>381</v>
      </c>
      <c r="F8" s="32" t="s">
        <v>333</v>
      </c>
      <c r="G8" s="39" t="s">
        <v>50</v>
      </c>
      <c r="H8" s="36" t="s">
        <v>51</v>
      </c>
      <c r="I8" s="129" t="s">
        <v>52</v>
      </c>
    </row>
    <row r="9" spans="1:9" s="1" customFormat="1" ht="90">
      <c r="A9" s="215"/>
      <c r="B9" s="41">
        <v>8</v>
      </c>
      <c r="C9" s="38" t="str">
        <f>B9&amp;". SUPPLY CHAIN STRATEGY PROPOSAL
including Make-or-Buy "</f>
        <v xml:space="preserve">8. SUPPLY CHAIN STRATEGY PROPOSAL
including Make-or-Buy </v>
      </c>
      <c r="D9" s="36" t="s">
        <v>9</v>
      </c>
      <c r="E9" s="36" t="s">
        <v>380</v>
      </c>
      <c r="F9" s="32" t="s">
        <v>334</v>
      </c>
      <c r="G9" s="39" t="s">
        <v>50</v>
      </c>
      <c r="H9" s="36" t="s">
        <v>51</v>
      </c>
      <c r="I9" s="129" t="s">
        <v>52</v>
      </c>
    </row>
    <row r="10" spans="1:9" s="1" customFormat="1" ht="75">
      <c r="A10" s="215"/>
      <c r="B10" s="41">
        <v>9</v>
      </c>
      <c r="C10" s="38" t="str">
        <f>B10&amp;". SUPPLY CHAIN STRATEGY DEFINITION"</f>
        <v>9. SUPPLY CHAIN STRATEGY DEFINITION</v>
      </c>
      <c r="D10" s="40" t="s">
        <v>9</v>
      </c>
      <c r="E10" s="36" t="s">
        <v>56</v>
      </c>
      <c r="F10" s="32" t="s">
        <v>334</v>
      </c>
      <c r="G10" s="39" t="s">
        <v>57</v>
      </c>
      <c r="H10" s="32" t="s">
        <v>58</v>
      </c>
      <c r="I10" s="129" t="s">
        <v>52</v>
      </c>
    </row>
    <row r="11" spans="1:9" s="1" customFormat="1" ht="60">
      <c r="A11" s="215"/>
      <c r="B11" s="41">
        <v>10</v>
      </c>
      <c r="C11" s="38" t="str">
        <f>B11&amp;". PROJECT CLASSIFICATION"</f>
        <v>10. PROJECT CLASSIFICATION</v>
      </c>
      <c r="D11" s="40" t="s">
        <v>9</v>
      </c>
      <c r="E11" s="36" t="s">
        <v>11</v>
      </c>
      <c r="F11" s="32" t="s">
        <v>335</v>
      </c>
      <c r="G11" s="39" t="s">
        <v>50</v>
      </c>
      <c r="H11" s="36" t="s">
        <v>51</v>
      </c>
      <c r="I11" s="129" t="s">
        <v>52</v>
      </c>
    </row>
    <row r="12" spans="1:9" s="1" customFormat="1" ht="45">
      <c r="A12" s="215"/>
      <c r="B12" s="41">
        <v>11</v>
      </c>
      <c r="C12" s="45" t="str">
        <f>B12&amp;". LEGAL ENGAGEMENT
costraints, patent and intellectual properties collection"</f>
        <v>11. LEGAL ENGAGEMENT
costraints, patent and intellectual properties collection</v>
      </c>
      <c r="D12" s="36" t="s">
        <v>9</v>
      </c>
      <c r="E12" s="36" t="s">
        <v>59</v>
      </c>
      <c r="F12" s="32" t="s">
        <v>336</v>
      </c>
      <c r="G12" s="39" t="s">
        <v>50</v>
      </c>
      <c r="H12" s="36" t="s">
        <v>51</v>
      </c>
      <c r="I12" s="129" t="s">
        <v>52</v>
      </c>
    </row>
    <row r="13" spans="1:9" s="1" customFormat="1" ht="60">
      <c r="A13" s="215"/>
      <c r="B13" s="41">
        <v>12</v>
      </c>
      <c r="C13" s="38" t="str">
        <f>B13&amp;". PROJECT TEAM MEMBERS  (Development Teams, Product Compliance and Product Certifications)  ENGAGEMENT
costraints collection"</f>
        <v>12. PROJECT TEAM MEMBERS  (Development Teams, Product Compliance and Product Certifications)  ENGAGEMENT
costraints collection</v>
      </c>
      <c r="D13" s="36" t="s">
        <v>9</v>
      </c>
      <c r="E13" s="36" t="s">
        <v>60</v>
      </c>
      <c r="F13" s="32" t="s">
        <v>336</v>
      </c>
      <c r="G13" s="39" t="s">
        <v>50</v>
      </c>
      <c r="H13" s="36" t="s">
        <v>51</v>
      </c>
      <c r="I13" s="129" t="s">
        <v>52</v>
      </c>
    </row>
    <row r="14" spans="1:9" s="1" customFormat="1" ht="45">
      <c r="A14" s="215"/>
      <c r="B14" s="41">
        <v>13</v>
      </c>
      <c r="C14" s="45" t="str">
        <f>B14&amp;". REGULATORY ENGAGEMENT
constraints collection"</f>
        <v>13. REGULATORY ENGAGEMENT
constraints collection</v>
      </c>
      <c r="D14" s="36" t="s">
        <v>9</v>
      </c>
      <c r="E14" s="40" t="s">
        <v>13</v>
      </c>
      <c r="F14" s="32" t="s">
        <v>336</v>
      </c>
      <c r="G14" s="39" t="s">
        <v>50</v>
      </c>
      <c r="H14" s="36" t="s">
        <v>51</v>
      </c>
      <c r="I14" s="129" t="s">
        <v>52</v>
      </c>
    </row>
    <row r="15" spans="1:9" s="1" customFormat="1" ht="45">
      <c r="A15" s="215"/>
      <c r="B15" s="41">
        <v>14</v>
      </c>
      <c r="C15" s="45" t="str">
        <f>B15&amp;". MANUFACTURING ENGAGEMENT
constraints collection"</f>
        <v>14. MANUFACTURING ENGAGEMENT
constraints collection</v>
      </c>
      <c r="D15" s="36" t="s">
        <v>9</v>
      </c>
      <c r="E15" s="40" t="s">
        <v>22</v>
      </c>
      <c r="F15" s="32" t="s">
        <v>336</v>
      </c>
      <c r="G15" s="39" t="s">
        <v>50</v>
      </c>
      <c r="H15" s="36" t="s">
        <v>51</v>
      </c>
      <c r="I15" s="129" t="s">
        <v>52</v>
      </c>
    </row>
    <row r="16" spans="1:9" s="1" customFormat="1" ht="45">
      <c r="A16" s="215"/>
      <c r="B16" s="41">
        <v>15</v>
      </c>
      <c r="C16" s="45" t="str">
        <f>B16&amp;". PRODUCTION QUALITY ENGAGEMENT
constraints collection"</f>
        <v>15. PRODUCTION QUALITY ENGAGEMENT
constraints collection</v>
      </c>
      <c r="D16" s="36" t="s">
        <v>9</v>
      </c>
      <c r="E16" s="40" t="s">
        <v>61</v>
      </c>
      <c r="F16" s="32" t="s">
        <v>336</v>
      </c>
      <c r="G16" s="39" t="s">
        <v>50</v>
      </c>
      <c r="H16" s="36" t="s">
        <v>51</v>
      </c>
      <c r="I16" s="129" t="s">
        <v>52</v>
      </c>
    </row>
    <row r="17" spans="1:10" s="1" customFormat="1" ht="45">
      <c r="A17" s="215"/>
      <c r="B17" s="41">
        <v>16</v>
      </c>
      <c r="C17" s="45" t="str">
        <f>B17&amp;". PRODUCT QUALITY ENGAGEMENT
constraints collection"</f>
        <v>16. PRODUCT QUALITY ENGAGEMENT
constraints collection</v>
      </c>
      <c r="D17" s="36" t="s">
        <v>9</v>
      </c>
      <c r="E17" s="40" t="s">
        <v>62</v>
      </c>
      <c r="F17" s="32" t="s">
        <v>336</v>
      </c>
      <c r="G17" s="39" t="s">
        <v>50</v>
      </c>
      <c r="H17" s="36" t="s">
        <v>51</v>
      </c>
      <c r="I17" s="129" t="s">
        <v>52</v>
      </c>
    </row>
    <row r="18" spans="1:10" s="1" customFormat="1" ht="45">
      <c r="A18" s="215"/>
      <c r="B18" s="41">
        <v>17</v>
      </c>
      <c r="C18" s="88" t="str">
        <f>B18&amp;". R&amp;D BUYER (PROCUREMENT) ENGAGEMENT
costraints collection"</f>
        <v>17. R&amp;D BUYER (PROCUREMENT) ENGAGEMENT
costraints collection</v>
      </c>
      <c r="D18" s="39" t="s">
        <v>9</v>
      </c>
      <c r="E18" s="50" t="s">
        <v>14</v>
      </c>
      <c r="F18" s="32" t="s">
        <v>336</v>
      </c>
      <c r="G18" s="39" t="s">
        <v>50</v>
      </c>
      <c r="H18" s="36" t="s">
        <v>51</v>
      </c>
      <c r="I18" s="129" t="s">
        <v>52</v>
      </c>
    </row>
    <row r="19" spans="1:10" s="1" customFormat="1" ht="75">
      <c r="A19" s="215"/>
      <c r="B19" s="41">
        <v>18</v>
      </c>
      <c r="C19" s="45" t="str">
        <f>B19&amp;". TENDER AND ENGAGEMENT OF EXTERNAL CONSULTANS "</f>
        <v xml:space="preserve">18. TENDER AND ENGAGEMENT OF EXTERNAL CONSULTANS </v>
      </c>
      <c r="D19" s="40" t="s">
        <v>18</v>
      </c>
      <c r="E19" s="40" t="s">
        <v>19</v>
      </c>
      <c r="F19" s="32" t="s">
        <v>63</v>
      </c>
      <c r="G19" s="39" t="s">
        <v>50</v>
      </c>
      <c r="H19" s="36" t="s">
        <v>51</v>
      </c>
      <c r="I19" s="129" t="s">
        <v>52</v>
      </c>
    </row>
    <row r="20" spans="1:10" s="1" customFormat="1" ht="45">
      <c r="A20" s="215"/>
      <c r="B20" s="41">
        <v>19</v>
      </c>
      <c r="C20" s="45" t="str">
        <f>B20&amp;". IVD VENDOR/THIRD PARTY FOR DEVELOPMENT AGREEMENT
definition and signature"</f>
        <v>19. IVD VENDOR/THIRD PARTY FOR DEVELOPMENT AGREEMENT
definition and signature</v>
      </c>
      <c r="D20" s="36" t="s">
        <v>3</v>
      </c>
      <c r="E20" s="40" t="s">
        <v>15</v>
      </c>
      <c r="F20" s="32" t="s">
        <v>64</v>
      </c>
      <c r="G20" s="39" t="s">
        <v>50</v>
      </c>
      <c r="H20" s="36" t="s">
        <v>51</v>
      </c>
      <c r="I20" s="129" t="s">
        <v>52</v>
      </c>
    </row>
    <row r="21" spans="1:10" s="1" customFormat="1" ht="45">
      <c r="A21" s="215"/>
      <c r="B21" s="41">
        <v>20</v>
      </c>
      <c r="C21" s="45" t="str">
        <f>B21&amp;". OFFER SHARING AND CUSTOMER PURCHASE ORDER RECEIPT"</f>
        <v>20. OFFER SHARING AND CUSTOMER PURCHASE ORDER RECEIPT</v>
      </c>
      <c r="D21" s="40" t="s">
        <v>3</v>
      </c>
      <c r="E21" s="36" t="s">
        <v>8</v>
      </c>
      <c r="F21" s="32" t="s">
        <v>319</v>
      </c>
      <c r="G21" s="39" t="s">
        <v>67</v>
      </c>
      <c r="H21" s="36" t="s">
        <v>51</v>
      </c>
      <c r="I21" s="129" t="s">
        <v>52</v>
      </c>
    </row>
    <row r="22" spans="1:10" s="1" customFormat="1" ht="60">
      <c r="A22" s="215"/>
      <c r="B22" s="41">
        <v>21</v>
      </c>
      <c r="C22" s="38" t="str">
        <f>B22&amp;". PRELIMINARY PRODUCT CLASSIFICATION"</f>
        <v>21. PRELIMINARY PRODUCT CLASSIFICATION</v>
      </c>
      <c r="D22" s="36" t="s">
        <v>16</v>
      </c>
      <c r="E22" s="36" t="s">
        <v>65</v>
      </c>
      <c r="F22" s="32" t="s">
        <v>66</v>
      </c>
      <c r="G22" s="39" t="s">
        <v>67</v>
      </c>
      <c r="H22" s="36" t="s">
        <v>68</v>
      </c>
      <c r="I22" s="129" t="s">
        <v>52</v>
      </c>
    </row>
    <row r="23" spans="1:10" s="1" customFormat="1" ht="85.5">
      <c r="A23" s="215"/>
      <c r="B23" s="41">
        <v>22</v>
      </c>
      <c r="C23" s="38" t="str">
        <f>B23&amp;". PRELIMINARY SOFTWARE SAFETY CLASSIFICATION"</f>
        <v>22. PRELIMINARY SOFTWARE SAFETY CLASSIFICATION</v>
      </c>
      <c r="D23" s="36" t="s">
        <v>382</v>
      </c>
      <c r="E23" s="36" t="s">
        <v>69</v>
      </c>
      <c r="F23" s="32" t="s">
        <v>70</v>
      </c>
      <c r="G23" s="39" t="s">
        <v>67</v>
      </c>
      <c r="H23" s="36" t="s">
        <v>68</v>
      </c>
      <c r="I23" s="129" t="s">
        <v>71</v>
      </c>
    </row>
    <row r="24" spans="1:10" s="1" customFormat="1" ht="45">
      <c r="A24" s="215"/>
      <c r="B24" s="41">
        <v>23</v>
      </c>
      <c r="C24" s="43" t="str">
        <f>B24&amp;". PERFORMANCE EVALUATION PLAN"</f>
        <v>23. PERFORMANCE EVALUATION PLAN</v>
      </c>
      <c r="D24" s="35" t="s">
        <v>72</v>
      </c>
      <c r="E24" s="35" t="s">
        <v>17</v>
      </c>
      <c r="F24" s="34" t="s">
        <v>73</v>
      </c>
      <c r="G24" s="39" t="s">
        <v>57</v>
      </c>
      <c r="H24" s="36" t="s">
        <v>68</v>
      </c>
      <c r="I24" s="129" t="s">
        <v>71</v>
      </c>
      <c r="J24" s="3"/>
    </row>
    <row r="25" spans="1:10" s="1" customFormat="1" ht="45">
      <c r="A25" s="215"/>
      <c r="B25" s="41">
        <v>24</v>
      </c>
      <c r="C25" s="38" t="str">
        <f>B25&amp;". FEASIBILITY ESTIMATION"</f>
        <v>24. FEASIBILITY ESTIMATION</v>
      </c>
      <c r="D25" s="36" t="s">
        <v>382</v>
      </c>
      <c r="E25" s="36" t="s">
        <v>4</v>
      </c>
      <c r="F25" s="32" t="s">
        <v>337</v>
      </c>
      <c r="G25" s="39" t="s">
        <v>50</v>
      </c>
      <c r="H25" s="36" t="s">
        <v>51</v>
      </c>
      <c r="I25" s="129" t="s">
        <v>52</v>
      </c>
    </row>
    <row r="26" spans="1:10" s="1" customFormat="1" ht="105">
      <c r="A26" s="215"/>
      <c r="B26" s="41">
        <v>25</v>
      </c>
      <c r="C26" s="38" t="str">
        <f>B26&amp;". PROOF OF CONCEPT ASSESSMENT
Focus on specific features"</f>
        <v>25. PROOF OF CONCEPT ASSESSMENT
Focus on specific features</v>
      </c>
      <c r="D26" s="36" t="s">
        <v>382</v>
      </c>
      <c r="E26" s="36" t="s">
        <v>74</v>
      </c>
      <c r="F26" s="32" t="s">
        <v>524</v>
      </c>
      <c r="G26" s="39" t="s">
        <v>50</v>
      </c>
      <c r="H26" s="36" t="s">
        <v>51</v>
      </c>
      <c r="I26" s="129" t="s">
        <v>52</v>
      </c>
    </row>
    <row r="27" spans="1:10" s="1" customFormat="1" ht="60">
      <c r="A27" s="215"/>
      <c r="B27" s="41">
        <v>26</v>
      </c>
      <c r="C27" s="45" t="str">
        <f>B27&amp;". APPLICABLE TECHNICAL STANDARDS/REGULATIONS FOR SPECIFIC PRODUCTS"</f>
        <v>26. APPLICABLE TECHNICAL STANDARDS/REGULATIONS FOR SPECIFIC PRODUCTS</v>
      </c>
      <c r="D27" s="40" t="s">
        <v>9</v>
      </c>
      <c r="E27" s="40" t="s">
        <v>60</v>
      </c>
      <c r="F27" s="32" t="s">
        <v>75</v>
      </c>
      <c r="G27" s="39" t="s">
        <v>50</v>
      </c>
      <c r="H27" s="36" t="s">
        <v>51</v>
      </c>
      <c r="I27" s="129" t="s">
        <v>52</v>
      </c>
    </row>
    <row r="28" spans="1:10" s="1" customFormat="1" ht="45">
      <c r="A28" s="215"/>
      <c r="B28" s="41">
        <v>27</v>
      </c>
      <c r="C28" s="38" t="str">
        <f>B28&amp;". EXISTING TOOL ASSESSMENT"</f>
        <v>27. EXISTING TOOL ASSESSMENT</v>
      </c>
      <c r="D28" s="36" t="s">
        <v>382</v>
      </c>
      <c r="E28" s="36" t="s">
        <v>20</v>
      </c>
      <c r="F28" s="34" t="s">
        <v>525</v>
      </c>
      <c r="G28" s="39" t="s">
        <v>50</v>
      </c>
      <c r="H28" s="36" t="s">
        <v>51</v>
      </c>
      <c r="I28" s="129" t="s">
        <v>52</v>
      </c>
    </row>
    <row r="29" spans="1:10" s="1" customFormat="1" ht="60">
      <c r="A29" s="215"/>
      <c r="B29" s="41">
        <v>28</v>
      </c>
      <c r="C29" s="43" t="str">
        <f>B29&amp;". USER STORIES &amp; ACCEPTANCE CRITERIA DEFINITION 
including PROJECT-SYSTEM content and including Performance Claims"</f>
        <v>28. USER STORIES &amp; ACCEPTANCE CRITERIA DEFINITION 
including PROJECT-SYSTEM content and including Performance Claims</v>
      </c>
      <c r="D29" s="40" t="s">
        <v>9</v>
      </c>
      <c r="E29" s="36" t="s">
        <v>383</v>
      </c>
      <c r="F29" s="32" t="s">
        <v>76</v>
      </c>
      <c r="G29" s="39" t="s">
        <v>50</v>
      </c>
      <c r="H29" s="36" t="s">
        <v>51</v>
      </c>
      <c r="I29" s="129" t="s">
        <v>52</v>
      </c>
    </row>
    <row r="30" spans="1:10" s="1" customFormat="1" ht="45">
      <c r="A30" s="215"/>
      <c r="B30" s="41">
        <v>29</v>
      </c>
      <c r="C30" s="38" t="str">
        <f>B30&amp;". ESSENTIAL REQUIREMENTS CHECKLIST
referred to Machinery Directive 2006/42/CE"</f>
        <v>29. ESSENTIAL REQUIREMENTS CHECKLIST
referred to Machinery Directive 2006/42/CE</v>
      </c>
      <c r="D30" s="40" t="s">
        <v>21</v>
      </c>
      <c r="E30" s="36" t="s">
        <v>384</v>
      </c>
      <c r="F30" s="34" t="s">
        <v>77</v>
      </c>
      <c r="G30" s="39" t="s">
        <v>67</v>
      </c>
      <c r="H30" s="36" t="s">
        <v>51</v>
      </c>
      <c r="I30" s="129" t="s">
        <v>52</v>
      </c>
    </row>
    <row r="31" spans="1:10" s="1" customFormat="1" ht="75">
      <c r="A31" s="215"/>
      <c r="B31" s="41">
        <v>30</v>
      </c>
      <c r="C31" s="95" t="str">
        <f>B31&amp;". HIGH LEVEL USER STORIES REFINEMENT"</f>
        <v>30. HIGH LEVEL USER STORIES REFINEMENT</v>
      </c>
      <c r="D31" s="97" t="s">
        <v>9</v>
      </c>
      <c r="E31" s="104" t="s">
        <v>383</v>
      </c>
      <c r="F31" s="51" t="s">
        <v>78</v>
      </c>
      <c r="G31" s="39" t="s">
        <v>50</v>
      </c>
      <c r="H31" s="36" t="s">
        <v>51</v>
      </c>
      <c r="I31" s="129" t="s">
        <v>52</v>
      </c>
    </row>
    <row r="32" spans="1:10" s="1" customFormat="1" ht="120">
      <c r="A32" s="215"/>
      <c r="B32" s="41">
        <v>31</v>
      </c>
      <c r="C32" s="38" t="str">
        <f>B32&amp;". CHANGE ORDER OPENING"</f>
        <v>31. CHANGE ORDER OPENING</v>
      </c>
      <c r="D32" s="36" t="s">
        <v>9</v>
      </c>
      <c r="E32" s="36" t="s">
        <v>385</v>
      </c>
      <c r="F32" s="34" t="s">
        <v>320</v>
      </c>
      <c r="G32" s="39" t="s">
        <v>50</v>
      </c>
      <c r="H32" s="36" t="s">
        <v>79</v>
      </c>
      <c r="I32" s="129" t="s">
        <v>52</v>
      </c>
    </row>
    <row r="33" spans="1:9" s="1" customFormat="1" ht="60">
      <c r="A33" s="215"/>
      <c r="B33" s="41">
        <v>32</v>
      </c>
      <c r="C33" s="38" t="str">
        <f>B33&amp;". HIGH LEVEL REGRESSION ANALYSIS"</f>
        <v>32. HIGH LEVEL REGRESSION ANALYSIS</v>
      </c>
      <c r="D33" s="36" t="s">
        <v>388</v>
      </c>
      <c r="E33" s="39" t="s">
        <v>53</v>
      </c>
      <c r="F33" s="34" t="s">
        <v>387</v>
      </c>
      <c r="G33" s="39" t="s">
        <v>67</v>
      </c>
      <c r="H33" s="40" t="s">
        <v>51</v>
      </c>
      <c r="I33" s="129" t="s">
        <v>52</v>
      </c>
    </row>
    <row r="34" spans="1:9" s="1" customFormat="1" ht="60">
      <c r="A34" s="215"/>
      <c r="B34" s="41">
        <v>33</v>
      </c>
      <c r="C34" s="48" t="str">
        <f>B34&amp;". CRITICALITY MATRIX for DESIGN FMEA, 
for critical components"</f>
        <v>33. CRITICALITY MATRIX for DESIGN FMEA, 
for critical components</v>
      </c>
      <c r="D34" s="39" t="s">
        <v>386</v>
      </c>
      <c r="E34" s="39" t="s">
        <v>438</v>
      </c>
      <c r="F34" s="34" t="s">
        <v>526</v>
      </c>
      <c r="G34" s="39" t="s">
        <v>67</v>
      </c>
      <c r="H34" s="47" t="s">
        <v>51</v>
      </c>
      <c r="I34" s="129" t="s">
        <v>52</v>
      </c>
    </row>
    <row r="35" spans="1:9" s="1" customFormat="1" ht="255">
      <c r="A35" s="215"/>
      <c r="B35" s="41">
        <v>34</v>
      </c>
      <c r="C35" s="48" t="str">
        <f>B35&amp;". (SAFETY/SECURITY) RISK ANALYSIS REFINEMENT"</f>
        <v>34. (SAFETY/SECURITY) RISK ANALYSIS REFINEMENT</v>
      </c>
      <c r="D35" s="85" t="s">
        <v>72</v>
      </c>
      <c r="E35" s="104" t="s">
        <v>389</v>
      </c>
      <c r="F35" s="34" t="s">
        <v>80</v>
      </c>
      <c r="G35" s="50" t="s">
        <v>50</v>
      </c>
      <c r="H35" s="36" t="s">
        <v>51</v>
      </c>
      <c r="I35" s="129" t="s">
        <v>52</v>
      </c>
    </row>
    <row r="36" spans="1:9" s="1" customFormat="1" ht="30">
      <c r="A36" s="215"/>
      <c r="B36" s="41">
        <v>35</v>
      </c>
      <c r="C36" s="38" t="str">
        <f>B36&amp;". FINAL PRODUCT DESCRIPTION"</f>
        <v>35. FINAL PRODUCT DESCRIPTION</v>
      </c>
      <c r="D36" s="36" t="s">
        <v>16</v>
      </c>
      <c r="E36" s="36" t="s">
        <v>4</v>
      </c>
      <c r="F36" s="34" t="s">
        <v>81</v>
      </c>
      <c r="G36" s="39" t="s">
        <v>57</v>
      </c>
      <c r="H36" s="32" t="s">
        <v>68</v>
      </c>
      <c r="I36" s="129" t="s">
        <v>52</v>
      </c>
    </row>
    <row r="37" spans="1:9" s="1" customFormat="1" ht="60">
      <c r="A37" s="215"/>
      <c r="B37" s="41">
        <v>36</v>
      </c>
      <c r="C37" s="38" t="str">
        <f>B37&amp;". CHANGE IMPACT ASSESSMENT"</f>
        <v>36. CHANGE IMPACT ASSESSMENT</v>
      </c>
      <c r="D37" s="36" t="s">
        <v>16</v>
      </c>
      <c r="E37" s="36" t="s">
        <v>321</v>
      </c>
      <c r="F37" s="32" t="s">
        <v>82</v>
      </c>
      <c r="G37" s="50" t="s">
        <v>67</v>
      </c>
      <c r="H37" s="36" t="s">
        <v>51</v>
      </c>
      <c r="I37" s="129" t="s">
        <v>52</v>
      </c>
    </row>
    <row r="38" spans="1:9" s="1" customFormat="1" ht="75">
      <c r="A38" s="215"/>
      <c r="B38" s="41">
        <v>37</v>
      </c>
      <c r="C38" s="38" t="str">
        <f>B38&amp;". CHECK ON DEPENDENCIES FROM AND IMPACTS ON OTHER PROJECTS (INCLUDING, IF APPLICABLE, SYSTEM PROJECTS)
including budget review and check with other project PM/s "</f>
        <v xml:space="preserve">37. CHECK ON DEPENDENCIES FROM AND IMPACTS ON OTHER PROJECTS (INCLUDING, IF APPLICABLE, SYSTEM PROJECTS)
including budget review and check with other project PM/s </v>
      </c>
      <c r="D38" s="40" t="s">
        <v>9</v>
      </c>
      <c r="E38" s="36" t="s">
        <v>4</v>
      </c>
      <c r="F38" s="32" t="s">
        <v>338</v>
      </c>
      <c r="G38" s="39" t="s">
        <v>50</v>
      </c>
      <c r="H38" s="36" t="s">
        <v>51</v>
      </c>
      <c r="I38" s="129" t="s">
        <v>52</v>
      </c>
    </row>
    <row r="39" spans="1:9" s="1" customFormat="1" ht="45">
      <c r="A39" s="215"/>
      <c r="B39" s="41">
        <v>38</v>
      </c>
      <c r="C39" s="45" t="str">
        <f>B39&amp;". NEED CHECK FOR PRESERIE"</f>
        <v>38. NEED CHECK FOR PRESERIE</v>
      </c>
      <c r="D39" s="36" t="s">
        <v>9</v>
      </c>
      <c r="E39" s="40" t="s">
        <v>83</v>
      </c>
      <c r="F39" s="32" t="s">
        <v>339</v>
      </c>
      <c r="G39" s="39" t="s">
        <v>57</v>
      </c>
      <c r="H39" s="36" t="s">
        <v>51</v>
      </c>
      <c r="I39" s="129" t="s">
        <v>52</v>
      </c>
    </row>
    <row r="40" spans="1:9" s="1" customFormat="1" ht="60">
      <c r="A40" s="215"/>
      <c r="B40" s="41">
        <v>39</v>
      </c>
      <c r="C40" s="48" t="str">
        <f>B40&amp;". SHOULD COST ANALYSIS 
focus on cost and value engineering team"</f>
        <v>39. SHOULD COST ANALYSIS 
focus on cost and value engineering team</v>
      </c>
      <c r="D40" s="104" t="s">
        <v>348</v>
      </c>
      <c r="E40" s="39" t="s">
        <v>530</v>
      </c>
      <c r="F40" s="32" t="s">
        <v>531</v>
      </c>
      <c r="G40" s="39" t="s">
        <v>67</v>
      </c>
      <c r="H40" s="47" t="s">
        <v>68</v>
      </c>
      <c r="I40" s="129" t="s">
        <v>52</v>
      </c>
    </row>
    <row r="41" spans="1:9" s="1" customFormat="1" ht="45">
      <c r="A41" s="215"/>
      <c r="B41" s="41">
        <v>40</v>
      </c>
      <c r="C41" s="38" t="str">
        <f>B41&amp;". PROJECT BUDGET CONSOLIDATION
Expected cost, resource, time (including man-hours)"</f>
        <v>40. PROJECT BUDGET CONSOLIDATION
Expected cost, resource, time (including man-hours)</v>
      </c>
      <c r="D41" s="36" t="s">
        <v>9</v>
      </c>
      <c r="E41" s="36" t="s">
        <v>23</v>
      </c>
      <c r="F41" s="32" t="s">
        <v>340</v>
      </c>
      <c r="G41" s="39" t="s">
        <v>50</v>
      </c>
      <c r="H41" s="36" t="s">
        <v>51</v>
      </c>
      <c r="I41" s="129" t="s">
        <v>52</v>
      </c>
    </row>
    <row r="42" spans="1:9" s="1" customFormat="1" ht="120">
      <c r="A42" s="215"/>
      <c r="B42" s="41">
        <v>41</v>
      </c>
      <c r="C42" s="38" t="str">
        <f>B42&amp;". PROJECT SCHEDULING
including resources-activities mapping and costraints and sharing with involved stakeholders"</f>
        <v>41. PROJECT SCHEDULING
including resources-activities mapping and costraints and sharing with involved stakeholders</v>
      </c>
      <c r="D42" s="36" t="s">
        <v>9</v>
      </c>
      <c r="E42" s="36" t="s">
        <v>390</v>
      </c>
      <c r="F42" s="32" t="s">
        <v>341</v>
      </c>
      <c r="G42" s="39" t="s">
        <v>50</v>
      </c>
      <c r="H42" s="36" t="s">
        <v>51</v>
      </c>
      <c r="I42" s="129" t="s">
        <v>52</v>
      </c>
    </row>
    <row r="43" spans="1:9" s="1" customFormat="1" ht="45">
      <c r="A43" s="215"/>
      <c r="B43" s="41">
        <v>42</v>
      </c>
      <c r="C43" s="38" t="str">
        <f>B43&amp;". GO-NO GO DECISION
including commercial Part Number definition"</f>
        <v>42. GO-NO GO DECISION
including commercial Part Number definition</v>
      </c>
      <c r="D43" s="36" t="s">
        <v>3</v>
      </c>
      <c r="E43" s="36" t="s">
        <v>8</v>
      </c>
      <c r="F43" s="32" t="s">
        <v>342</v>
      </c>
      <c r="G43" s="39" t="s">
        <v>50</v>
      </c>
      <c r="H43" s="36" t="s">
        <v>51</v>
      </c>
      <c r="I43" s="129" t="s">
        <v>52</v>
      </c>
    </row>
    <row r="44" spans="1:9" s="30" customFormat="1" ht="45">
      <c r="A44" s="215"/>
      <c r="B44" s="41">
        <v>43</v>
      </c>
      <c r="C44" s="45" t="str">
        <f>B44&amp;". ANALYSIS PROJECT CLOSURE"</f>
        <v>43. ANALYSIS PROJECT CLOSURE</v>
      </c>
      <c r="D44" s="37" t="s">
        <v>47</v>
      </c>
      <c r="E44" s="42" t="s">
        <v>48</v>
      </c>
      <c r="F44" s="32" t="s">
        <v>527</v>
      </c>
      <c r="G44" s="39" t="s">
        <v>50</v>
      </c>
      <c r="H44" s="36" t="s">
        <v>51</v>
      </c>
      <c r="I44" s="129" t="s">
        <v>52</v>
      </c>
    </row>
    <row r="45" spans="1:9" s="96" customFormat="1" ht="192.6" customHeight="1" thickBot="1">
      <c r="A45" s="216"/>
      <c r="B45" s="130">
        <v>44</v>
      </c>
      <c r="C45" s="131" t="str">
        <f>B45&amp;". PLANNING REVIEW"</f>
        <v>44. PLANNING REVIEW</v>
      </c>
      <c r="D45" s="49" t="s">
        <v>9</v>
      </c>
      <c r="E45" s="49" t="s">
        <v>84</v>
      </c>
      <c r="F45" s="46" t="s">
        <v>528</v>
      </c>
      <c r="G45" s="54" t="s">
        <v>50</v>
      </c>
      <c r="H45" s="49" t="s">
        <v>51</v>
      </c>
      <c r="I45" s="132" t="s">
        <v>52</v>
      </c>
    </row>
    <row r="46" spans="1:9" s="1" customFormat="1" ht="135">
      <c r="A46" s="217" t="s">
        <v>85</v>
      </c>
      <c r="B46" s="133">
        <v>45</v>
      </c>
      <c r="C46" s="134" t="str">
        <f>B46&amp;". DEVELOPMENT PROJECT OPENING"</f>
        <v>45. DEVELOPMENT PROJECT OPENING</v>
      </c>
      <c r="D46" s="135" t="s">
        <v>9</v>
      </c>
      <c r="E46" s="136" t="s">
        <v>393</v>
      </c>
      <c r="F46" s="127" t="s">
        <v>529</v>
      </c>
      <c r="G46" s="28" t="s">
        <v>50</v>
      </c>
      <c r="H46" s="29" t="s">
        <v>51</v>
      </c>
      <c r="I46" s="128" t="s">
        <v>52</v>
      </c>
    </row>
    <row r="47" spans="1:9" s="1" customFormat="1" ht="45">
      <c r="A47" s="218"/>
      <c r="B47" s="92">
        <v>46</v>
      </c>
      <c r="C47" s="43" t="str">
        <f>B47&amp;". DETAILED REFINEMENT ACTIVITY
Continuous refinement"</f>
        <v>46. DETAILED REFINEMENT ACTIVITY
Continuous refinement</v>
      </c>
      <c r="D47" s="35" t="s">
        <v>9</v>
      </c>
      <c r="E47" s="36" t="s">
        <v>383</v>
      </c>
      <c r="F47" s="33" t="s">
        <v>86</v>
      </c>
      <c r="G47" s="39" t="s">
        <v>50</v>
      </c>
      <c r="H47" s="36" t="s">
        <v>51</v>
      </c>
      <c r="I47" s="129" t="s">
        <v>52</v>
      </c>
    </row>
    <row r="48" spans="1:9" s="1" customFormat="1" ht="45">
      <c r="A48" s="218"/>
      <c r="B48" s="92">
        <v>47</v>
      </c>
      <c r="C48" s="48" t="str">
        <f>B48&amp;". PRELIMINARY BOM DEFINITION
including any Upgrade/Retrofit Kit"</f>
        <v>47. PRELIMINARY BOM DEFINITION
including any Upgrade/Retrofit Kit</v>
      </c>
      <c r="D48" s="104" t="s">
        <v>348</v>
      </c>
      <c r="E48" s="39" t="s">
        <v>421</v>
      </c>
      <c r="F48" s="32" t="s">
        <v>87</v>
      </c>
      <c r="G48" s="39" t="s">
        <v>67</v>
      </c>
      <c r="H48" s="47" t="s">
        <v>51</v>
      </c>
      <c r="I48" s="129" t="s">
        <v>52</v>
      </c>
    </row>
    <row r="49" spans="1:9" s="1" customFormat="1" ht="120">
      <c r="A49" s="218"/>
      <c r="B49" s="92">
        <v>48</v>
      </c>
      <c r="C49" s="48" t="str">
        <f>B49&amp;". MATERIAL SUPPLY FOR HW PROTOTYPE"</f>
        <v>48. MATERIAL SUPPLY FOR HW PROTOTYPE</v>
      </c>
      <c r="D49" s="50" t="s">
        <v>459</v>
      </c>
      <c r="E49" s="39" t="s">
        <v>88</v>
      </c>
      <c r="F49" s="32" t="s">
        <v>458</v>
      </c>
      <c r="G49" s="39" t="s">
        <v>50</v>
      </c>
      <c r="H49" s="36" t="s">
        <v>51</v>
      </c>
      <c r="I49" s="129" t="s">
        <v>52</v>
      </c>
    </row>
    <row r="50" spans="1:9" s="1" customFormat="1" ht="75">
      <c r="A50" s="218"/>
      <c r="B50" s="92">
        <v>49</v>
      </c>
      <c r="C50" s="48" t="str">
        <f>B50&amp;". HW PROTOTYPE DESIGN &amp; DEVELOPMENT"</f>
        <v>49. HW PROTOTYPE DESIGN &amp; DEVELOPMENT</v>
      </c>
      <c r="D50" s="104" t="s">
        <v>348</v>
      </c>
      <c r="E50" s="39" t="s">
        <v>345</v>
      </c>
      <c r="F50" s="32" t="s">
        <v>89</v>
      </c>
      <c r="G50" s="39" t="s">
        <v>50</v>
      </c>
      <c r="H50" s="36" t="s">
        <v>51</v>
      </c>
      <c r="I50" s="129" t="s">
        <v>52</v>
      </c>
    </row>
    <row r="51" spans="1:9" s="1" customFormat="1" ht="45">
      <c r="A51" s="218"/>
      <c r="B51" s="92">
        <v>50</v>
      </c>
      <c r="C51" s="48" t="str">
        <f>B51&amp;". SW/MCSW PROTOTYPE / DEMO DESIGN &amp; DEVELOPMENT "</f>
        <v xml:space="preserve">50. SW/MCSW PROTOTYPE / DEMO DESIGN &amp; DEVELOPMENT </v>
      </c>
      <c r="D51" s="39" t="s">
        <v>397</v>
      </c>
      <c r="E51" s="39" t="s">
        <v>26</v>
      </c>
      <c r="F51" s="32" t="s">
        <v>398</v>
      </c>
      <c r="G51" s="39" t="s">
        <v>67</v>
      </c>
      <c r="H51" s="36" t="s">
        <v>51</v>
      </c>
      <c r="I51" s="129" t="s">
        <v>52</v>
      </c>
    </row>
    <row r="52" spans="1:9" s="1" customFormat="1" ht="75">
      <c r="A52" s="218"/>
      <c r="B52" s="92">
        <v>51</v>
      </c>
      <c r="C52" s="48" t="str">
        <f>B52&amp;". HW PROTOTYPE SHARING WITH PROJECT STAKEHOLDERS"</f>
        <v>51. HW PROTOTYPE SHARING WITH PROJECT STAKEHOLDERS</v>
      </c>
      <c r="D52" s="39" t="s">
        <v>348</v>
      </c>
      <c r="E52" s="39" t="s">
        <v>27</v>
      </c>
      <c r="F52" s="32" t="s">
        <v>351</v>
      </c>
      <c r="G52" s="39" t="s">
        <v>67</v>
      </c>
      <c r="H52" s="36" t="s">
        <v>51</v>
      </c>
      <c r="I52" s="129" t="s">
        <v>52</v>
      </c>
    </row>
    <row r="53" spans="1:9" s="1" customFormat="1" ht="75">
      <c r="A53" s="218"/>
      <c r="B53" s="92">
        <v>52</v>
      </c>
      <c r="C53" s="48" t="str">
        <f>B53&amp;". SW/MCSWPROTOTYPE / DEMO SHARING WITH PROJECT STAKEHOLDERS"</f>
        <v>52. SW/MCSWPROTOTYPE / DEMO SHARING WITH PROJECT STAKEHOLDERS</v>
      </c>
      <c r="D53" s="39" t="s">
        <v>397</v>
      </c>
      <c r="E53" s="39" t="s">
        <v>27</v>
      </c>
      <c r="F53" s="32" t="s">
        <v>399</v>
      </c>
      <c r="G53" s="39" t="s">
        <v>67</v>
      </c>
      <c r="H53" s="36" t="s">
        <v>51</v>
      </c>
      <c r="I53" s="129" t="s">
        <v>52</v>
      </c>
    </row>
    <row r="54" spans="1:9" s="1" customFormat="1" ht="180">
      <c r="A54" s="218"/>
      <c r="B54" s="116">
        <v>53</v>
      </c>
      <c r="C54" s="48" t="str">
        <f>B54&amp;". LABELS 
Safety Labels
Informative Labels
Regulatory/Statutory Labels"</f>
        <v>53. LABELS 
Safety Labels
Informative Labels
Regulatory/Statutory Labels</v>
      </c>
      <c r="D54" s="39" t="s">
        <v>347</v>
      </c>
      <c r="E54" s="53" t="s">
        <v>346</v>
      </c>
      <c r="F54" s="32" t="s">
        <v>349</v>
      </c>
      <c r="G54" s="39" t="s">
        <v>67</v>
      </c>
      <c r="H54" s="91" t="s">
        <v>51</v>
      </c>
      <c r="I54" s="129" t="s">
        <v>52</v>
      </c>
    </row>
    <row r="55" spans="1:9" s="96" customFormat="1" ht="60">
      <c r="A55" s="218"/>
      <c r="B55" s="116">
        <v>54</v>
      </c>
      <c r="C55" s="48" t="str">
        <f>B55&amp;". BOM PRESERIE REVIEW"</f>
        <v>54. BOM PRESERIE REVIEW</v>
      </c>
      <c r="D55" s="39" t="s">
        <v>348</v>
      </c>
      <c r="E55" s="39" t="s">
        <v>446</v>
      </c>
      <c r="F55" s="32" t="s">
        <v>90</v>
      </c>
      <c r="G55" s="50" t="s">
        <v>67</v>
      </c>
      <c r="H55" s="91" t="s">
        <v>51</v>
      </c>
      <c r="I55" s="129" t="s">
        <v>52</v>
      </c>
    </row>
    <row r="56" spans="1:9" s="1" customFormat="1" ht="60">
      <c r="A56" s="218"/>
      <c r="B56" s="116">
        <v>55</v>
      </c>
      <c r="C56" s="48" t="str">
        <f>B56&amp;". BOM PRESERIE COSTIFICATION"</f>
        <v>55. BOM PRESERIE COSTIFICATION</v>
      </c>
      <c r="D56" s="39" t="s">
        <v>30</v>
      </c>
      <c r="E56" s="39" t="s">
        <v>460</v>
      </c>
      <c r="F56" s="32" t="s">
        <v>532</v>
      </c>
      <c r="G56" s="50" t="s">
        <v>67</v>
      </c>
      <c r="H56" s="91" t="s">
        <v>51</v>
      </c>
      <c r="I56" s="129" t="s">
        <v>52</v>
      </c>
    </row>
    <row r="57" spans="1:9" s="1" customFormat="1" ht="45">
      <c r="A57" s="218"/>
      <c r="B57" s="116">
        <v>56</v>
      </c>
      <c r="C57" s="48" t="str">
        <f>B57&amp;". INPUT/OUTPUT MAPPING"</f>
        <v>56. INPUT/OUTPUT MAPPING</v>
      </c>
      <c r="D57" s="39" t="s">
        <v>348</v>
      </c>
      <c r="E57" s="39" t="s">
        <v>442</v>
      </c>
      <c r="F57" s="34" t="s">
        <v>91</v>
      </c>
      <c r="G57" s="39" t="s">
        <v>67</v>
      </c>
      <c r="H57" s="47" t="s">
        <v>51</v>
      </c>
      <c r="I57" s="129" t="s">
        <v>52</v>
      </c>
    </row>
    <row r="58" spans="1:9" s="1" customFormat="1" ht="120">
      <c r="A58" s="218"/>
      <c r="B58" s="122">
        <v>57</v>
      </c>
      <c r="C58" s="48" t="str">
        <f>B58&amp;". HW TEST"</f>
        <v>57. HW TEST</v>
      </c>
      <c r="D58" s="39" t="s">
        <v>348</v>
      </c>
      <c r="E58" s="39" t="s">
        <v>445</v>
      </c>
      <c r="F58" s="32" t="s">
        <v>533</v>
      </c>
      <c r="G58" s="39" t="s">
        <v>67</v>
      </c>
      <c r="H58" s="47" t="s">
        <v>51</v>
      </c>
      <c r="I58" s="129" t="s">
        <v>52</v>
      </c>
    </row>
    <row r="59" spans="1:9" s="1" customFormat="1" ht="45">
      <c r="A59" s="218"/>
      <c r="B59" s="122">
        <v>58</v>
      </c>
      <c r="C59" s="90" t="str">
        <f>B59&amp;". TEAR DOWN"</f>
        <v>58. TEAR DOWN</v>
      </c>
      <c r="D59" s="39" t="s">
        <v>348</v>
      </c>
      <c r="E59" s="39" t="s">
        <v>28</v>
      </c>
      <c r="F59" s="32" t="s">
        <v>92</v>
      </c>
      <c r="G59" s="39" t="s">
        <v>67</v>
      </c>
      <c r="H59" s="47" t="s">
        <v>51</v>
      </c>
      <c r="I59" s="129" t="s">
        <v>52</v>
      </c>
    </row>
    <row r="60" spans="1:9" s="1" customFormat="1" ht="90">
      <c r="A60" s="218"/>
      <c r="B60" s="122">
        <v>59</v>
      </c>
      <c r="C60" s="48" t="str">
        <f>B60&amp;". PRE-SERIE LAUNCH REVIEW MEETING"</f>
        <v>59. PRE-SERIE LAUNCH REVIEW MEETING</v>
      </c>
      <c r="D60" s="39" t="s">
        <v>9</v>
      </c>
      <c r="E60" s="39" t="s">
        <v>392</v>
      </c>
      <c r="F60" s="32" t="s">
        <v>534</v>
      </c>
      <c r="G60" s="39" t="s">
        <v>57</v>
      </c>
      <c r="H60" s="47" t="s">
        <v>51</v>
      </c>
      <c r="I60" s="129" t="s">
        <v>52</v>
      </c>
    </row>
    <row r="61" spans="1:9" s="1" customFormat="1" ht="45">
      <c r="A61" s="218"/>
      <c r="B61" s="52">
        <v>60</v>
      </c>
      <c r="C61" s="90" t="str">
        <f>B61&amp;". PRESERIE DEVELOPMENT "</f>
        <v xml:space="preserve">60. PRESERIE DEVELOPMENT </v>
      </c>
      <c r="D61" s="39" t="s">
        <v>29</v>
      </c>
      <c r="E61" s="50" t="s">
        <v>442</v>
      </c>
      <c r="F61" s="32" t="s">
        <v>93</v>
      </c>
      <c r="G61" s="39" t="s">
        <v>57</v>
      </c>
      <c r="H61" s="91" t="s">
        <v>51</v>
      </c>
      <c r="I61" s="129" t="s">
        <v>52</v>
      </c>
    </row>
    <row r="62" spans="1:9" s="1" customFormat="1" ht="195">
      <c r="A62" s="218"/>
      <c r="B62" s="52">
        <v>61</v>
      </c>
      <c r="C62" s="48" t="str">
        <f>B62&amp;". HW DESIGN &amp; DEVELOPMENT &amp; INTEGRATION
including specifications description and link to user stories, including device configuration development, including labels."</f>
        <v>61. HW DESIGN &amp; DEVELOPMENT &amp; INTEGRATION
including specifications description and link to user stories, including device configuration development, including labels.</v>
      </c>
      <c r="D62" s="39" t="s">
        <v>348</v>
      </c>
      <c r="E62" s="39" t="s">
        <v>441</v>
      </c>
      <c r="F62" s="32" t="s">
        <v>537</v>
      </c>
      <c r="G62" s="39" t="s">
        <v>50</v>
      </c>
      <c r="H62" s="47" t="s">
        <v>51</v>
      </c>
      <c r="I62" s="129" t="s">
        <v>52</v>
      </c>
    </row>
    <row r="63" spans="1:9" s="1" customFormat="1" ht="180">
      <c r="A63" s="218"/>
      <c r="B63" s="52">
        <v>62</v>
      </c>
      <c r="C63" s="95" t="str">
        <f>B63&amp;". MCSW DESIGN &amp; DEVELOPMENT DOCUMENTATION
including specifications description and link to user stories, including simulation tools development"</f>
        <v>62. MCSW DESIGN &amp; DEVELOPMENT DOCUMENTATION
including specifications description and link to user stories, including simulation tools development</v>
      </c>
      <c r="D63" s="39" t="s">
        <v>400</v>
      </c>
      <c r="E63" s="50" t="s">
        <v>438</v>
      </c>
      <c r="F63" s="120" t="s">
        <v>443</v>
      </c>
      <c r="G63" s="39" t="s">
        <v>50</v>
      </c>
      <c r="H63" s="47" t="s">
        <v>51</v>
      </c>
      <c r="I63" s="129" t="s">
        <v>52</v>
      </c>
    </row>
    <row r="64" spans="1:9" s="1" customFormat="1" ht="237.75">
      <c r="A64" s="218"/>
      <c r="B64" s="52">
        <v>63</v>
      </c>
      <c r="C64" s="48" t="str">
        <f>B64&amp;". SW DESIGN &amp; DEVELOPMENT 
including specifications description and link to user stories,  including simulation tools development"</f>
        <v>63. SW DESIGN &amp; DEVELOPMENT 
including specifications description and link to user stories,  including simulation tools development</v>
      </c>
      <c r="D64" s="39" t="s">
        <v>444</v>
      </c>
      <c r="E64" s="50" t="s">
        <v>438</v>
      </c>
      <c r="F64" s="120" t="s">
        <v>538</v>
      </c>
      <c r="G64" s="39" t="s">
        <v>50</v>
      </c>
      <c r="H64" s="47" t="s">
        <v>51</v>
      </c>
      <c r="I64" s="129" t="s">
        <v>52</v>
      </c>
    </row>
    <row r="65" spans="1:9" s="1" customFormat="1" ht="90">
      <c r="A65" s="218"/>
      <c r="B65" s="52">
        <v>64</v>
      </c>
      <c r="C65" s="38" t="str">
        <f>B65&amp;". DESIGN SPECIFICIATION"</f>
        <v>64. DESIGN SPECIFICIATION</v>
      </c>
      <c r="D65" s="36" t="s">
        <v>439</v>
      </c>
      <c r="E65" s="50" t="s">
        <v>438</v>
      </c>
      <c r="F65" s="32" t="s">
        <v>440</v>
      </c>
      <c r="G65" s="39" t="s">
        <v>50</v>
      </c>
      <c r="H65" s="47" t="s">
        <v>51</v>
      </c>
      <c r="I65" s="129" t="s">
        <v>52</v>
      </c>
    </row>
    <row r="66" spans="1:9" s="1" customFormat="1" ht="85.5">
      <c r="A66" s="218"/>
      <c r="B66" s="52">
        <v>65</v>
      </c>
      <c r="C66" s="38" t="str">
        <f>B66&amp;". FINAL SOFTWARE SAFETY CLASSIFICATION"</f>
        <v>65. FINAL SOFTWARE SAFETY CLASSIFICATION</v>
      </c>
      <c r="D66" s="36" t="s">
        <v>394</v>
      </c>
      <c r="E66" s="36" t="s">
        <v>69</v>
      </c>
      <c r="F66" s="34" t="s">
        <v>395</v>
      </c>
      <c r="G66" s="39" t="s">
        <v>67</v>
      </c>
      <c r="H66" s="36" t="s">
        <v>68</v>
      </c>
      <c r="I66" s="129" t="s">
        <v>71</v>
      </c>
    </row>
    <row r="67" spans="1:9" s="1" customFormat="1" ht="90">
      <c r="A67" s="218"/>
      <c r="B67" s="52">
        <v>66</v>
      </c>
      <c r="C67" s="48" t="str">
        <f>B67&amp;". HW/MCSW/SW TOOL (for R&amp;D, Manufacturing, Customer Success) DESIGN &amp; DEVELOPMENT &amp; VALIDATION"</f>
        <v>66. HW/MCSW/SW TOOL (for R&amp;D, Manufacturing, Customer Success) DESIGN &amp; DEVELOPMENT &amp; VALIDATION</v>
      </c>
      <c r="D67" s="50" t="s">
        <v>539</v>
      </c>
      <c r="E67" s="39" t="s">
        <v>25</v>
      </c>
      <c r="F67" s="32" t="s">
        <v>540</v>
      </c>
      <c r="G67" s="39" t="s">
        <v>67</v>
      </c>
      <c r="H67" s="47" t="s">
        <v>51</v>
      </c>
      <c r="I67" s="129" t="s">
        <v>52</v>
      </c>
    </row>
    <row r="68" spans="1:9" s="1" customFormat="1" ht="45">
      <c r="A68" s="218"/>
      <c r="B68" s="52">
        <v>67</v>
      </c>
      <c r="C68" s="88" t="str">
        <f>B68&amp;". PRELIMINARY SPARE PARTS LIST"</f>
        <v>67. PRELIMINARY SPARE PARTS LIST</v>
      </c>
      <c r="D68" s="50" t="s">
        <v>401</v>
      </c>
      <c r="E68" s="50" t="s">
        <v>402</v>
      </c>
      <c r="F68" s="34" t="s">
        <v>424</v>
      </c>
      <c r="G68" s="39" t="s">
        <v>57</v>
      </c>
      <c r="H68" s="47" t="s">
        <v>68</v>
      </c>
      <c r="I68" s="129" t="s">
        <v>52</v>
      </c>
    </row>
    <row r="69" spans="1:9" s="1" customFormat="1" ht="45">
      <c r="A69" s="218"/>
      <c r="B69" s="52">
        <v>68</v>
      </c>
      <c r="C69" s="48" t="str">
        <f>B69&amp;". UNIT TEST"</f>
        <v>68. UNIT TEST</v>
      </c>
      <c r="D69" s="36" t="s">
        <v>394</v>
      </c>
      <c r="E69" s="39" t="s">
        <v>4</v>
      </c>
      <c r="F69" s="32" t="s">
        <v>423</v>
      </c>
      <c r="G69" s="39" t="s">
        <v>67</v>
      </c>
      <c r="H69" s="47" t="s">
        <v>51</v>
      </c>
      <c r="I69" s="129" t="s">
        <v>52</v>
      </c>
    </row>
    <row r="70" spans="1:9" s="1" customFormat="1" ht="123">
      <c r="A70" s="218"/>
      <c r="B70" s="52">
        <v>69</v>
      </c>
      <c r="C70" s="48" t="str">
        <f>B70&amp;". COMPONENT TEST"</f>
        <v>69. COMPONENT TEST</v>
      </c>
      <c r="D70" s="39" t="s">
        <v>403</v>
      </c>
      <c r="E70" s="39" t="s">
        <v>53</v>
      </c>
      <c r="F70" s="119" t="s">
        <v>404</v>
      </c>
      <c r="G70" s="39" t="s">
        <v>67</v>
      </c>
      <c r="H70" s="47" t="s">
        <v>51</v>
      </c>
      <c r="I70" s="129" t="s">
        <v>52</v>
      </c>
    </row>
    <row r="71" spans="1:9" s="1" customFormat="1" ht="105">
      <c r="A71" s="218"/>
      <c r="B71" s="52">
        <v>70</v>
      </c>
      <c r="C71" s="88" t="str">
        <f>B71&amp;". SOFTWARE EXTERNAL TRANSLATION"</f>
        <v>70. SOFTWARE EXTERNAL TRANSLATION</v>
      </c>
      <c r="D71" s="50" t="s">
        <v>405</v>
      </c>
      <c r="E71" s="39" t="s">
        <v>406</v>
      </c>
      <c r="F71" s="32" t="s">
        <v>408</v>
      </c>
      <c r="G71" s="39" t="s">
        <v>67</v>
      </c>
      <c r="H71" s="117" t="s">
        <v>51</v>
      </c>
      <c r="I71" s="129" t="s">
        <v>52</v>
      </c>
    </row>
    <row r="72" spans="1:9" s="1" customFormat="1" ht="120">
      <c r="A72" s="218"/>
      <c r="B72" s="52">
        <v>71</v>
      </c>
      <c r="C72" s="88" t="str">
        <f>B72&amp;". TRANSLATION SW TEST"</f>
        <v>71. TRANSLATION SW TEST</v>
      </c>
      <c r="D72" s="50" t="s">
        <v>403</v>
      </c>
      <c r="E72" s="39" t="s">
        <v>409</v>
      </c>
      <c r="F72" s="119" t="s">
        <v>410</v>
      </c>
      <c r="G72" s="39" t="s">
        <v>67</v>
      </c>
      <c r="H72" s="117" t="s">
        <v>51</v>
      </c>
      <c r="I72" s="129" t="s">
        <v>52</v>
      </c>
    </row>
    <row r="73" spans="1:9" s="1" customFormat="1" ht="180">
      <c r="A73" s="218"/>
      <c r="B73" s="52">
        <v>72</v>
      </c>
      <c r="C73" s="107" t="str">
        <f>B73&amp;". SW MEDIA"</f>
        <v>72. SW MEDIA</v>
      </c>
      <c r="D73" s="44" t="s">
        <v>425</v>
      </c>
      <c r="E73" s="89" t="s">
        <v>411</v>
      </c>
      <c r="F73" s="33" t="s">
        <v>541</v>
      </c>
      <c r="G73" s="39" t="s">
        <v>67</v>
      </c>
      <c r="H73" s="117" t="s">
        <v>51</v>
      </c>
      <c r="I73" s="129" t="s">
        <v>52</v>
      </c>
    </row>
    <row r="74" spans="1:9" s="1" customFormat="1" ht="105">
      <c r="A74" s="218"/>
      <c r="B74" s="52">
        <v>73</v>
      </c>
      <c r="C74" s="48" t="str">
        <f>B74&amp;". SYSTEM &amp; INTEGRATION TEST"</f>
        <v>73. SYSTEM &amp; INTEGRATION TEST</v>
      </c>
      <c r="D74" s="39" t="s">
        <v>403</v>
      </c>
      <c r="E74" s="105" t="s">
        <v>415</v>
      </c>
      <c r="F74" s="119" t="s">
        <v>416</v>
      </c>
      <c r="G74" s="39" t="s">
        <v>67</v>
      </c>
      <c r="H74" s="47" t="s">
        <v>51</v>
      </c>
      <c r="I74" s="129" t="s">
        <v>52</v>
      </c>
    </row>
    <row r="75" spans="1:9" s="1" customFormat="1" ht="45">
      <c r="A75" s="218"/>
      <c r="B75" s="52">
        <v>74</v>
      </c>
      <c r="C75" s="48" t="str">
        <f>B75&amp;". INSTALLATION CHECKLIST"</f>
        <v>74. INSTALLATION CHECKLIST</v>
      </c>
      <c r="D75" s="39" t="s">
        <v>382</v>
      </c>
      <c r="E75" s="39" t="s">
        <v>95</v>
      </c>
      <c r="F75" s="34" t="s">
        <v>437</v>
      </c>
      <c r="G75" s="39" t="s">
        <v>67</v>
      </c>
      <c r="H75" s="47" t="s">
        <v>51</v>
      </c>
      <c r="I75" s="129" t="s">
        <v>52</v>
      </c>
    </row>
    <row r="76" spans="1:9" s="1" customFormat="1" ht="45">
      <c r="A76" s="218"/>
      <c r="B76" s="52">
        <v>75</v>
      </c>
      <c r="C76" s="48" t="str">
        <f>B76&amp;". OPERATIONS MANUAL DRAFT"</f>
        <v>75. OPERATIONS MANUAL DRAFT</v>
      </c>
      <c r="D76" s="39" t="s">
        <v>348</v>
      </c>
      <c r="E76" s="50" t="s">
        <v>411</v>
      </c>
      <c r="F76" s="32" t="s">
        <v>414</v>
      </c>
      <c r="G76" s="118" t="s">
        <v>67</v>
      </c>
      <c r="H76" s="47" t="s">
        <v>68</v>
      </c>
      <c r="I76" s="129" t="s">
        <v>52</v>
      </c>
    </row>
    <row r="77" spans="1:9" s="1" customFormat="1" ht="60">
      <c r="A77" s="218"/>
      <c r="B77" s="52">
        <v>76</v>
      </c>
      <c r="C77" s="48" t="str">
        <f>B77&amp;". SERVICE MANUAL DRAFT"</f>
        <v>76. SERVICE MANUAL DRAFT</v>
      </c>
      <c r="D77" s="39" t="s">
        <v>422</v>
      </c>
      <c r="E77" s="50" t="s">
        <v>461</v>
      </c>
      <c r="F77" s="32" t="s">
        <v>413</v>
      </c>
      <c r="G77" s="118" t="s">
        <v>67</v>
      </c>
      <c r="H77" s="117" t="s">
        <v>51</v>
      </c>
      <c r="I77" s="129" t="s">
        <v>52</v>
      </c>
    </row>
    <row r="78" spans="1:9" s="1" customFormat="1" ht="60">
      <c r="A78" s="218"/>
      <c r="B78" s="52">
        <v>77</v>
      </c>
      <c r="C78" s="48" t="str">
        <f>B78&amp;". PRODUCTION INSTRUCTIONS DRAFT"</f>
        <v>77. PRODUCTION INSTRUCTIONS DRAFT</v>
      </c>
      <c r="D78" s="39" t="s">
        <v>422</v>
      </c>
      <c r="E78" s="50" t="s">
        <v>461</v>
      </c>
      <c r="F78" s="32" t="s">
        <v>96</v>
      </c>
      <c r="G78" s="118" t="s">
        <v>67</v>
      </c>
      <c r="H78" s="117" t="s">
        <v>51</v>
      </c>
      <c r="I78" s="129" t="s">
        <v>52</v>
      </c>
    </row>
    <row r="79" spans="1:9" s="1" customFormat="1" ht="165">
      <c r="A79" s="218"/>
      <c r="B79" s="52">
        <v>78</v>
      </c>
      <c r="C79" s="48" t="str">
        <f>B79&amp;". BUG REPORT/REVIEW AND ASSESSMENT ON EVENTUAL REWORK
including items from Preserie "</f>
        <v xml:space="preserve">78. BUG REPORT/REVIEW AND ASSESSMENT ON EVENTUAL REWORK
including items from Preserie </v>
      </c>
      <c r="D79" s="104" t="s">
        <v>543</v>
      </c>
      <c r="E79" s="104" t="s">
        <v>457</v>
      </c>
      <c r="F79" s="34" t="s">
        <v>542</v>
      </c>
      <c r="G79" s="39" t="s">
        <v>67</v>
      </c>
      <c r="H79" s="47" t="s">
        <v>51</v>
      </c>
      <c r="I79" s="129" t="s">
        <v>52</v>
      </c>
    </row>
    <row r="80" spans="1:9" s="1" customFormat="1" ht="90">
      <c r="A80" s="218"/>
      <c r="B80" s="52">
        <v>79</v>
      </c>
      <c r="C80" s="48" t="str">
        <f>B80&amp;". CONSISTENCY CHECK BETWEEN ""PLANNING"" PHASE AND ""EXECUTION""  PHASE"</f>
        <v>79. CONSISTENCY CHECK BETWEEN "PLANNING" PHASE AND "EXECUTION"  PHASE</v>
      </c>
      <c r="D80" s="39" t="s">
        <v>9</v>
      </c>
      <c r="E80" s="39" t="s">
        <v>11</v>
      </c>
      <c r="F80" s="32" t="s">
        <v>544</v>
      </c>
      <c r="G80" s="39" t="s">
        <v>50</v>
      </c>
      <c r="H80" s="47" t="s">
        <v>51</v>
      </c>
      <c r="I80" s="129" t="s">
        <v>52</v>
      </c>
    </row>
    <row r="81" spans="1:9" s="1" customFormat="1" ht="45">
      <c r="A81" s="218"/>
      <c r="B81" s="52">
        <v>80</v>
      </c>
      <c r="C81" s="88" t="str">
        <f>B81&amp;". BOM FINAL DEFINITION"</f>
        <v>80. BOM FINAL DEFINITION</v>
      </c>
      <c r="D81" s="39" t="s">
        <v>348</v>
      </c>
      <c r="E81" s="39" t="s">
        <v>421</v>
      </c>
      <c r="F81" s="32" t="s">
        <v>420</v>
      </c>
      <c r="G81" s="39" t="s">
        <v>57</v>
      </c>
      <c r="H81" s="91" t="s">
        <v>51</v>
      </c>
      <c r="I81" s="129" t="s">
        <v>52</v>
      </c>
    </row>
    <row r="82" spans="1:9" s="1" customFormat="1" ht="30">
      <c r="A82" s="218"/>
      <c r="B82" s="52">
        <v>81</v>
      </c>
      <c r="C82" s="48" t="str">
        <f>B82&amp;". PRODUCT CERTIFICATION SESSION"</f>
        <v>81. PRODUCT CERTIFICATION SESSION</v>
      </c>
      <c r="D82" s="39" t="s">
        <v>21</v>
      </c>
      <c r="E82" s="53" t="s">
        <v>31</v>
      </c>
      <c r="F82" s="32" t="s">
        <v>545</v>
      </c>
      <c r="G82" s="39" t="s">
        <v>67</v>
      </c>
      <c r="H82" s="47" t="s">
        <v>68</v>
      </c>
      <c r="I82" s="129" t="s">
        <v>52</v>
      </c>
    </row>
    <row r="83" spans="1:9" s="1" customFormat="1" ht="45">
      <c r="A83" s="218"/>
      <c r="B83" s="52">
        <v>82</v>
      </c>
      <c r="C83" s="107" t="str">
        <f>B83&amp;". DESIGN &amp; DEVELOPMENT"</f>
        <v>82. DESIGN &amp; DEVELOPMENT</v>
      </c>
      <c r="D83" s="44" t="s">
        <v>9</v>
      </c>
      <c r="E83" s="89" t="s">
        <v>383</v>
      </c>
      <c r="F83" s="33" t="s">
        <v>546</v>
      </c>
      <c r="G83" s="39" t="s">
        <v>50</v>
      </c>
      <c r="H83" s="47" t="s">
        <v>51</v>
      </c>
      <c r="I83" s="129" t="s">
        <v>52</v>
      </c>
    </row>
    <row r="84" spans="1:9" s="1" customFormat="1" ht="90">
      <c r="A84" s="218"/>
      <c r="B84" s="52">
        <v>83</v>
      </c>
      <c r="C84" s="48" t="str">
        <f>B84&amp;". COMPATIBILITY ASSESSMENT"</f>
        <v>83. COMPATIBILITY ASSESSMENT</v>
      </c>
      <c r="D84" s="50" t="s">
        <v>382</v>
      </c>
      <c r="E84" s="39" t="s">
        <v>418</v>
      </c>
      <c r="F84" s="120" t="s">
        <v>417</v>
      </c>
      <c r="G84" s="39" t="s">
        <v>67</v>
      </c>
      <c r="H84" s="117" t="s">
        <v>51</v>
      </c>
      <c r="I84" s="129" t="s">
        <v>52</v>
      </c>
    </row>
    <row r="85" spans="1:9" s="1" customFormat="1" ht="135.75" thickBot="1">
      <c r="A85" s="219"/>
      <c r="B85" s="137">
        <v>84</v>
      </c>
      <c r="C85" s="138" t="str">
        <f>B85&amp;". EXECUTION REVIEW MEETING"</f>
        <v>84. EXECUTION REVIEW MEETING</v>
      </c>
      <c r="D85" s="54" t="s">
        <v>9</v>
      </c>
      <c r="E85" s="54" t="s">
        <v>419</v>
      </c>
      <c r="F85" s="46" t="s">
        <v>391</v>
      </c>
      <c r="G85" s="54" t="s">
        <v>50</v>
      </c>
      <c r="H85" s="139" t="s">
        <v>51</v>
      </c>
      <c r="I85" s="132" t="s">
        <v>52</v>
      </c>
    </row>
    <row r="86" spans="1:9" s="30" customFormat="1" ht="60">
      <c r="A86" s="223" t="s">
        <v>97</v>
      </c>
      <c r="B86" s="140">
        <v>85</v>
      </c>
      <c r="C86" s="141" t="str">
        <f>B86&amp;". PRODUCT COST FINAL DEFINITION"</f>
        <v>85. PRODUCT COST FINAL DEFINITION</v>
      </c>
      <c r="D86" s="142" t="s">
        <v>32</v>
      </c>
      <c r="E86" s="28" t="s">
        <v>432</v>
      </c>
      <c r="F86" s="127" t="s">
        <v>547</v>
      </c>
      <c r="G86" s="28" t="s">
        <v>57</v>
      </c>
      <c r="H86" s="145" t="s">
        <v>51</v>
      </c>
      <c r="I86" s="128" t="s">
        <v>52</v>
      </c>
    </row>
    <row r="87" spans="1:9" s="1" customFormat="1" ht="135">
      <c r="A87" s="224"/>
      <c r="B87" s="115">
        <v>86</v>
      </c>
      <c r="C87" s="48" t="str">
        <f>B87&amp;". TRAINING TO INPECO TECHNICAL / NON-TECHNICAL STAFF "</f>
        <v xml:space="preserve">86. TRAINING TO INPECO TECHNICAL / NON-TECHNICAL STAFF </v>
      </c>
      <c r="D87" s="39" t="s">
        <v>367</v>
      </c>
      <c r="E87" s="39" t="s">
        <v>433</v>
      </c>
      <c r="F87" s="32" t="s">
        <v>548</v>
      </c>
      <c r="G87" s="39" t="s">
        <v>67</v>
      </c>
      <c r="H87" s="47" t="s">
        <v>51</v>
      </c>
      <c r="I87" s="129" t="s">
        <v>52</v>
      </c>
    </row>
    <row r="88" spans="1:9" s="1" customFormat="1" ht="60">
      <c r="A88" s="224"/>
      <c r="B88" s="115">
        <v>87</v>
      </c>
      <c r="C88" s="48" t="str">
        <f>B88&amp;". OPERATIONS MANUALS FINAL"</f>
        <v>87. OPERATIONS MANUALS FINAL</v>
      </c>
      <c r="D88" s="39" t="s">
        <v>422</v>
      </c>
      <c r="E88" s="105" t="s">
        <v>4</v>
      </c>
      <c r="F88" s="32" t="s">
        <v>434</v>
      </c>
      <c r="G88" s="39" t="s">
        <v>67</v>
      </c>
      <c r="H88" s="47" t="s">
        <v>68</v>
      </c>
      <c r="I88" s="129" t="s">
        <v>52</v>
      </c>
    </row>
    <row r="89" spans="1:9" s="1" customFormat="1" ht="75">
      <c r="A89" s="224"/>
      <c r="B89" s="115">
        <v>88</v>
      </c>
      <c r="C89" s="48" t="str">
        <f>B89&amp;". SERVICE MANUALS FINAL"</f>
        <v>88. SERVICE MANUALS FINAL</v>
      </c>
      <c r="D89" s="39" t="s">
        <v>422</v>
      </c>
      <c r="E89" s="105" t="s">
        <v>4</v>
      </c>
      <c r="F89" s="32" t="s">
        <v>435</v>
      </c>
      <c r="G89" s="39" t="s">
        <v>57</v>
      </c>
      <c r="H89" s="117" t="s">
        <v>51</v>
      </c>
      <c r="I89" s="129" t="s">
        <v>52</v>
      </c>
    </row>
    <row r="90" spans="1:9" s="1" customFormat="1" ht="150">
      <c r="A90" s="224"/>
      <c r="B90" s="115">
        <v>89</v>
      </c>
      <c r="C90" s="48" t="str">
        <f>B90&amp;". PRODUCTION INSTRUCTIONS FINAL"</f>
        <v>89. PRODUCTION INSTRUCTIONS FINAL</v>
      </c>
      <c r="D90" s="39" t="s">
        <v>422</v>
      </c>
      <c r="E90" s="105" t="s">
        <v>4</v>
      </c>
      <c r="F90" s="32" t="s">
        <v>436</v>
      </c>
      <c r="G90" s="39" t="s">
        <v>57</v>
      </c>
      <c r="H90" s="117" t="s">
        <v>51</v>
      </c>
      <c r="I90" s="129" t="s">
        <v>52</v>
      </c>
    </row>
    <row r="91" spans="1:9" s="1" customFormat="1" ht="60">
      <c r="A91" s="224"/>
      <c r="B91" s="115">
        <v>90</v>
      </c>
      <c r="C91" s="48" t="str">
        <f>B91&amp;". OPERATIONS MANUAL TRANSLATION"</f>
        <v>90. OPERATIONS MANUAL TRANSLATION</v>
      </c>
      <c r="D91" s="39" t="s">
        <v>422</v>
      </c>
      <c r="E91" s="39" t="s">
        <v>4</v>
      </c>
      <c r="F91" s="32" t="s">
        <v>549</v>
      </c>
      <c r="G91" s="39" t="s">
        <v>67</v>
      </c>
      <c r="H91" s="47" t="s">
        <v>68</v>
      </c>
      <c r="I91" s="129" t="s">
        <v>52</v>
      </c>
    </row>
    <row r="92" spans="1:9" s="1" customFormat="1" ht="45">
      <c r="A92" s="224"/>
      <c r="B92" s="115">
        <v>91</v>
      </c>
      <c r="C92" s="48" t="str">
        <f>B92&amp;". FINAL RISK EVALUATION"</f>
        <v>91. FINAL RISK EVALUATION</v>
      </c>
      <c r="D92" s="39" t="s">
        <v>72</v>
      </c>
      <c r="E92" s="39" t="s">
        <v>358</v>
      </c>
      <c r="F92" s="56" t="s">
        <v>359</v>
      </c>
      <c r="G92" s="39" t="s">
        <v>57</v>
      </c>
      <c r="H92" s="47" t="s">
        <v>51</v>
      </c>
      <c r="I92" s="129" t="s">
        <v>52</v>
      </c>
    </row>
    <row r="93" spans="1:9" s="1" customFormat="1" ht="45">
      <c r="A93" s="224"/>
      <c r="B93" s="115">
        <v>92</v>
      </c>
      <c r="C93" s="48" t="str">
        <f>B93&amp;". TECHNICAL FILE UPDATE"</f>
        <v>92. TECHNICAL FILE UPDATE</v>
      </c>
      <c r="D93" s="39" t="s">
        <v>72</v>
      </c>
      <c r="E93" s="39" t="s">
        <v>4</v>
      </c>
      <c r="F93" s="33" t="s">
        <v>426</v>
      </c>
      <c r="G93" s="39" t="s">
        <v>57</v>
      </c>
      <c r="H93" s="47" t="s">
        <v>94</v>
      </c>
      <c r="I93" s="129" t="s">
        <v>52</v>
      </c>
    </row>
    <row r="94" spans="1:9" s="1" customFormat="1" ht="45">
      <c r="A94" s="224"/>
      <c r="B94" s="115">
        <v>93</v>
      </c>
      <c r="C94" s="48" t="str">
        <f>B94&amp;". OTHER APPLICABLE TECHNICAL FILE UPDATE"</f>
        <v>93. OTHER APPLICABLE TECHNICAL FILE UPDATE</v>
      </c>
      <c r="D94" s="39" t="s">
        <v>21</v>
      </c>
      <c r="E94" s="39" t="s">
        <v>427</v>
      </c>
      <c r="F94" s="32" t="s">
        <v>550</v>
      </c>
      <c r="G94" s="39" t="s">
        <v>57</v>
      </c>
      <c r="H94" s="47" t="s">
        <v>94</v>
      </c>
      <c r="I94" s="129" t="s">
        <v>52</v>
      </c>
    </row>
    <row r="95" spans="1:9" s="1" customFormat="1" ht="90">
      <c r="A95" s="224"/>
      <c r="B95" s="115">
        <v>94</v>
      </c>
      <c r="C95" s="107" t="str">
        <f>B95&amp;". DESIGN AND DEVELOPMENT VALIDATION TEST"</f>
        <v>94. DESIGN AND DEVELOPMENT VALIDATION TEST</v>
      </c>
      <c r="D95" s="39" t="s">
        <v>403</v>
      </c>
      <c r="E95" s="39" t="s">
        <v>36</v>
      </c>
      <c r="F95" s="33" t="s">
        <v>360</v>
      </c>
      <c r="G95" s="39" t="s">
        <v>67</v>
      </c>
      <c r="H95" s="47" t="s">
        <v>68</v>
      </c>
      <c r="I95" s="129" t="s">
        <v>52</v>
      </c>
    </row>
    <row r="96" spans="1:9" s="1" customFormat="1" ht="75">
      <c r="A96" s="224"/>
      <c r="B96" s="115">
        <v>95</v>
      </c>
      <c r="C96" s="88" t="str">
        <f>B96&amp;". REVIEW OPEN BUGS"</f>
        <v>95. REVIEW OPEN BUGS</v>
      </c>
      <c r="D96" s="39" t="s">
        <v>382</v>
      </c>
      <c r="E96" s="39" t="s">
        <v>551</v>
      </c>
      <c r="F96" s="32" t="s">
        <v>552</v>
      </c>
      <c r="G96" s="39" t="s">
        <v>67</v>
      </c>
      <c r="H96" s="47" t="s">
        <v>51</v>
      </c>
      <c r="I96" s="129" t="s">
        <v>52</v>
      </c>
    </row>
    <row r="97" spans="1:9" s="1" customFormat="1" ht="90">
      <c r="A97" s="224"/>
      <c r="B97" s="115">
        <v>96</v>
      </c>
      <c r="C97" s="88" t="str">
        <f>B97&amp;". CONSISTENCY CHECK BETWEEN ""PLANNING"", ""EXECUTION""  AND ""DEPLOYMENT"" PHASE"</f>
        <v>96. CONSISTENCY CHECK BETWEEN "PLANNING", "EXECUTION"  AND "DEPLOYMENT" PHASE</v>
      </c>
      <c r="D97" s="44" t="s">
        <v>9</v>
      </c>
      <c r="E97" s="44" t="s">
        <v>11</v>
      </c>
      <c r="F97" s="32" t="s">
        <v>553</v>
      </c>
      <c r="G97" s="39" t="s">
        <v>50</v>
      </c>
      <c r="H97" s="47" t="s">
        <v>51</v>
      </c>
      <c r="I97" s="129" t="s">
        <v>52</v>
      </c>
    </row>
    <row r="98" spans="1:9" s="1" customFormat="1" ht="45">
      <c r="A98" s="224"/>
      <c r="B98" s="115">
        <v>97</v>
      </c>
      <c r="C98" s="112" t="str">
        <f>B98&amp;". PERFORMANCE CLAIM LIST CREATION/UPDATE"</f>
        <v>97. PERFORMANCE CLAIM LIST CREATION/UPDATE</v>
      </c>
      <c r="D98" s="32" t="s">
        <v>3</v>
      </c>
      <c r="E98" s="44" t="s">
        <v>4</v>
      </c>
      <c r="F98" s="51" t="s">
        <v>554</v>
      </c>
      <c r="G98" s="47" t="s">
        <v>57</v>
      </c>
      <c r="H98" s="47" t="s">
        <v>94</v>
      </c>
      <c r="I98" s="129" t="s">
        <v>52</v>
      </c>
    </row>
    <row r="99" spans="1:9" s="1" customFormat="1" ht="45">
      <c r="A99" s="224"/>
      <c r="B99" s="115">
        <v>98</v>
      </c>
      <c r="C99" s="48" t="str">
        <f>B99&amp;". DEVICE MASTER RECORD UPDATE"</f>
        <v>98. DEVICE MASTER RECORD UPDATE</v>
      </c>
      <c r="D99" s="39" t="s">
        <v>428</v>
      </c>
      <c r="E99" s="39" t="s">
        <v>4</v>
      </c>
      <c r="F99" s="32" t="s">
        <v>431</v>
      </c>
      <c r="G99" s="39" t="s">
        <v>57</v>
      </c>
      <c r="H99" s="47" t="s">
        <v>94</v>
      </c>
      <c r="I99" s="129" t="s">
        <v>52</v>
      </c>
    </row>
    <row r="100" spans="1:9" s="1" customFormat="1" ht="60">
      <c r="A100" s="224"/>
      <c r="B100" s="115">
        <v>99</v>
      </c>
      <c r="C100" s="45" t="str">
        <f>B100&amp;". PERFORMANCE EVALUATION REPORT"</f>
        <v>99. PERFORMANCE EVALUATION REPORT</v>
      </c>
      <c r="D100" s="36" t="s">
        <v>72</v>
      </c>
      <c r="E100" s="36" t="s">
        <v>38</v>
      </c>
      <c r="F100" s="120" t="s">
        <v>371</v>
      </c>
      <c r="G100" s="39" t="s">
        <v>57</v>
      </c>
      <c r="H100" s="47" t="s">
        <v>68</v>
      </c>
      <c r="I100" s="129" t="s">
        <v>71</v>
      </c>
    </row>
    <row r="101" spans="1:9" s="1" customFormat="1" ht="60">
      <c r="A101" s="224"/>
      <c r="B101" s="115">
        <v>100</v>
      </c>
      <c r="C101" s="45" t="str">
        <f>B101&amp;". RISK MANAGEMENT SUMMARY"</f>
        <v>100. RISK MANAGEMENT SUMMARY</v>
      </c>
      <c r="D101" s="36" t="s">
        <v>72</v>
      </c>
      <c r="E101" s="36" t="s">
        <v>11</v>
      </c>
      <c r="F101" s="120" t="s">
        <v>555</v>
      </c>
      <c r="G101" s="39" t="s">
        <v>57</v>
      </c>
      <c r="H101" s="47" t="s">
        <v>51</v>
      </c>
      <c r="I101" s="129" t="s">
        <v>52</v>
      </c>
    </row>
    <row r="102" spans="1:9" s="1" customFormat="1" ht="30">
      <c r="A102" s="224"/>
      <c r="B102" s="115">
        <v>101</v>
      </c>
      <c r="C102" s="45" t="str">
        <f>B102&amp;". POST MARKET PERFORMANCE FOLLOW UP PLAN"</f>
        <v>101. POST MARKET PERFORMANCE FOLLOW UP PLAN</v>
      </c>
      <c r="D102" s="36" t="s">
        <v>16</v>
      </c>
      <c r="E102" s="36" t="s">
        <v>39</v>
      </c>
      <c r="F102" s="120" t="s">
        <v>372</v>
      </c>
      <c r="G102" s="39" t="s">
        <v>57</v>
      </c>
      <c r="H102" s="47" t="s">
        <v>68</v>
      </c>
      <c r="I102" s="129" t="s">
        <v>71</v>
      </c>
    </row>
    <row r="103" spans="1:9" s="1" customFormat="1" ht="45">
      <c r="A103" s="224"/>
      <c r="B103" s="115">
        <v>102</v>
      </c>
      <c r="C103" s="45" t="str">
        <f>B103&amp;". POST MARKET SURVEILLANCE PLAN"</f>
        <v>102. POST MARKET SURVEILLANCE PLAN</v>
      </c>
      <c r="D103" s="36" t="s">
        <v>16</v>
      </c>
      <c r="E103" s="36" t="s">
        <v>40</v>
      </c>
      <c r="F103" s="120" t="s">
        <v>373</v>
      </c>
      <c r="G103" s="39" t="s">
        <v>57</v>
      </c>
      <c r="H103" s="47" t="s">
        <v>68</v>
      </c>
      <c r="I103" s="129" t="s">
        <v>71</v>
      </c>
    </row>
    <row r="104" spans="1:9" s="1" customFormat="1" ht="45">
      <c r="A104" s="224"/>
      <c r="B104" s="115">
        <v>103</v>
      </c>
      <c r="C104" s="45" t="str">
        <f>B104&amp;". GENERAL SAFETY AND PERFORMANCE"</f>
        <v>103. GENERAL SAFETY AND PERFORMANCE</v>
      </c>
      <c r="D104" s="36" t="s">
        <v>72</v>
      </c>
      <c r="E104" s="36" t="s">
        <v>453</v>
      </c>
      <c r="F104" s="120" t="s">
        <v>374</v>
      </c>
      <c r="G104" s="39" t="s">
        <v>57</v>
      </c>
      <c r="H104" s="47" t="s">
        <v>94</v>
      </c>
      <c r="I104" s="129" t="s">
        <v>71</v>
      </c>
    </row>
    <row r="105" spans="1:9" s="1" customFormat="1" ht="45">
      <c r="A105" s="224"/>
      <c r="B105" s="115">
        <v>104</v>
      </c>
      <c r="C105" s="48" t="str">
        <f>B105&amp;". PRODUCT CERTIFICATE/REPORT"</f>
        <v>104. PRODUCT CERTIFICATE/REPORT</v>
      </c>
      <c r="D105" s="104" t="s">
        <v>21</v>
      </c>
      <c r="E105" s="39" t="s">
        <v>4</v>
      </c>
      <c r="F105" s="32" t="s">
        <v>558</v>
      </c>
      <c r="G105" s="39" t="s">
        <v>57</v>
      </c>
      <c r="H105" s="47" t="s">
        <v>68</v>
      </c>
      <c r="I105" s="129" t="s">
        <v>52</v>
      </c>
    </row>
    <row r="106" spans="1:9" s="1" customFormat="1" ht="105">
      <c r="A106" s="224"/>
      <c r="B106" s="115">
        <v>105</v>
      </c>
      <c r="C106" s="88" t="str">
        <f>B106&amp;". CHANGE ORDER COMPLETION"</f>
        <v>105. CHANGE ORDER COMPLETION</v>
      </c>
      <c r="D106" s="39" t="s">
        <v>366</v>
      </c>
      <c r="E106" s="39" t="s">
        <v>4</v>
      </c>
      <c r="F106" s="120" t="s">
        <v>369</v>
      </c>
      <c r="G106" s="118" t="s">
        <v>67</v>
      </c>
      <c r="H106" s="117" t="s">
        <v>51</v>
      </c>
      <c r="I106" s="129" t="s">
        <v>52</v>
      </c>
    </row>
    <row r="107" spans="1:9" s="1" customFormat="1" ht="117.75">
      <c r="A107" s="224"/>
      <c r="B107" s="115">
        <v>106</v>
      </c>
      <c r="C107" s="88" t="str">
        <f>B107&amp;". REGRESSION ANALYSIS AND RELEASE REPORT COMPLETION"</f>
        <v>106. REGRESSION ANALYSIS AND RELEASE REPORT COMPLETION</v>
      </c>
      <c r="D107" s="39" t="s">
        <v>9</v>
      </c>
      <c r="E107" s="39" t="s">
        <v>370</v>
      </c>
      <c r="F107" s="119" t="s">
        <v>368</v>
      </c>
      <c r="G107" s="39" t="s">
        <v>67</v>
      </c>
      <c r="H107" s="117" t="s">
        <v>51</v>
      </c>
      <c r="I107" s="129" t="s">
        <v>52</v>
      </c>
    </row>
    <row r="108" spans="1:9" s="1" customFormat="1" ht="30">
      <c r="A108" s="224"/>
      <c r="B108" s="115">
        <v>107</v>
      </c>
      <c r="C108" s="88" t="str">
        <f>B108&amp;". ANALYZER COMPATIBILITY"</f>
        <v>107. ANALYZER COMPATIBILITY</v>
      </c>
      <c r="D108" s="123" t="s">
        <v>72</v>
      </c>
      <c r="E108" s="123" t="s">
        <v>370</v>
      </c>
      <c r="F108" s="124" t="s">
        <v>557</v>
      </c>
      <c r="G108" s="39" t="s">
        <v>57</v>
      </c>
      <c r="H108" s="117" t="s">
        <v>68</v>
      </c>
      <c r="I108" s="129" t="s">
        <v>71</v>
      </c>
    </row>
    <row r="109" spans="1:9" s="1" customFormat="1" ht="165.75" thickBot="1">
      <c r="A109" s="225"/>
      <c r="B109" s="144">
        <v>108</v>
      </c>
      <c r="C109" s="57" t="str">
        <f>B109&amp;". DEPLOYMENT REVIEW MEETING"</f>
        <v>108. DEPLOYMENT REVIEW MEETING</v>
      </c>
      <c r="D109" s="54" t="s">
        <v>9</v>
      </c>
      <c r="E109" s="54" t="s">
        <v>429</v>
      </c>
      <c r="F109" s="46" t="s">
        <v>430</v>
      </c>
      <c r="G109" s="54" t="s">
        <v>67</v>
      </c>
      <c r="H109" s="139" t="s">
        <v>51</v>
      </c>
      <c r="I109" s="132" t="s">
        <v>52</v>
      </c>
    </row>
    <row r="110" spans="1:9" s="1" customFormat="1" ht="45">
      <c r="A110" s="220"/>
      <c r="B110" s="146">
        <v>109</v>
      </c>
      <c r="C110" s="141" t="str">
        <f>B110&amp;". EU DECLARATION OF CONFORMITY"</f>
        <v>109. EU DECLARATION OF CONFORMITY</v>
      </c>
      <c r="D110" s="147" t="s">
        <v>449</v>
      </c>
      <c r="E110" s="28" t="s">
        <v>450</v>
      </c>
      <c r="F110" s="127" t="s">
        <v>452</v>
      </c>
      <c r="G110" s="28" t="s">
        <v>57</v>
      </c>
      <c r="H110" s="143" t="s">
        <v>68</v>
      </c>
      <c r="I110" s="128" t="s">
        <v>52</v>
      </c>
    </row>
    <row r="111" spans="1:9" s="1" customFormat="1" ht="30">
      <c r="A111" s="221"/>
      <c r="B111" s="55">
        <v>110</v>
      </c>
      <c r="C111" s="48" t="str">
        <f>B111&amp;". OTHER APPLICABLE DECLARATIONS"</f>
        <v>110. OTHER APPLICABLE DECLARATIONS</v>
      </c>
      <c r="D111" s="104" t="s">
        <v>21</v>
      </c>
      <c r="E111" s="39" t="s">
        <v>451</v>
      </c>
      <c r="F111" s="32" t="s">
        <v>560</v>
      </c>
      <c r="G111" s="39" t="s">
        <v>57</v>
      </c>
      <c r="H111" s="47" t="s">
        <v>68</v>
      </c>
      <c r="I111" s="129" t="s">
        <v>52</v>
      </c>
    </row>
    <row r="112" spans="1:9" s="1" customFormat="1" ht="30">
      <c r="A112" s="221"/>
      <c r="B112" s="55">
        <v>111</v>
      </c>
      <c r="C112" s="112" t="str">
        <f>B112&amp;". TECHNICAL DATA SHEET CREATION/UPDATE"</f>
        <v>111. TECHNICAL DATA SHEET CREATION/UPDATE</v>
      </c>
      <c r="D112" s="32" t="s">
        <v>3</v>
      </c>
      <c r="E112" s="44" t="s">
        <v>4</v>
      </c>
      <c r="F112" s="51" t="s">
        <v>561</v>
      </c>
      <c r="G112" s="47" t="s">
        <v>57</v>
      </c>
      <c r="H112" s="91" t="s">
        <v>68</v>
      </c>
      <c r="I112" s="129" t="s">
        <v>52</v>
      </c>
    </row>
    <row r="113" spans="1:9" s="1" customFormat="1" ht="30">
      <c r="A113" s="221"/>
      <c r="B113" s="55">
        <v>112</v>
      </c>
      <c r="C113" s="48" t="str">
        <f>B113&amp;". PRODUCT REGISTRATION"</f>
        <v>112. PRODUCT REGISTRATION</v>
      </c>
      <c r="D113" s="39" t="s">
        <v>16</v>
      </c>
      <c r="E113" s="39" t="s">
        <v>4</v>
      </c>
      <c r="F113" s="32" t="s">
        <v>448</v>
      </c>
      <c r="G113" s="39" t="s">
        <v>57</v>
      </c>
      <c r="H113" s="47" t="s">
        <v>68</v>
      </c>
      <c r="I113" s="129" t="s">
        <v>52</v>
      </c>
    </row>
    <row r="114" spans="1:9" s="1" customFormat="1" ht="60">
      <c r="A114" s="221"/>
      <c r="B114" s="55">
        <v>113</v>
      </c>
      <c r="C114" s="48" t="str">
        <f>B114&amp;". PROJECT OUTPUT RELEASE TO DISTRIBUTOR
based on Distributor agreements and considering packages/docs"</f>
        <v>113. PROJECT OUTPUT RELEASE TO DISTRIBUTOR
based on Distributor agreements and considering packages/docs</v>
      </c>
      <c r="D114" s="50" t="s">
        <v>3</v>
      </c>
      <c r="E114" s="39" t="s">
        <v>562</v>
      </c>
      <c r="F114" s="32" t="s">
        <v>563</v>
      </c>
      <c r="G114" s="39" t="s">
        <v>57</v>
      </c>
      <c r="H114" s="47" t="s">
        <v>68</v>
      </c>
      <c r="I114" s="129" t="s">
        <v>52</v>
      </c>
    </row>
    <row r="115" spans="1:9" s="1" customFormat="1" ht="45">
      <c r="A115" s="221"/>
      <c r="B115" s="55">
        <v>114</v>
      </c>
      <c r="C115" s="88" t="str">
        <f>B115&amp;". TRAINING TO DISTRIBUTOR/CUSTOMER TECHNICAL / NON-TECHNICAL STAFF "</f>
        <v xml:space="preserve">114. TRAINING TO DISTRIBUTOR/CUSTOMER TECHNICAL / NON-TECHNICAL STAFF </v>
      </c>
      <c r="D115" s="32" t="s">
        <v>564</v>
      </c>
      <c r="E115" s="32" t="s">
        <v>33</v>
      </c>
      <c r="F115" s="32" t="s">
        <v>565</v>
      </c>
      <c r="G115" s="39" t="s">
        <v>57</v>
      </c>
      <c r="H115" s="47" t="s">
        <v>68</v>
      </c>
      <c r="I115" s="129" t="s">
        <v>52</v>
      </c>
    </row>
    <row r="116" spans="1:9" s="1" customFormat="1" ht="45">
      <c r="A116" s="221"/>
      <c r="B116" s="55">
        <v>115</v>
      </c>
      <c r="C116" s="48" t="str">
        <f>B116&amp;". CUT-IN DEFINITION"</f>
        <v>115. CUT-IN DEFINITION</v>
      </c>
      <c r="D116" s="39" t="s">
        <v>29</v>
      </c>
      <c r="E116" s="39" t="s">
        <v>7</v>
      </c>
      <c r="F116" s="32" t="s">
        <v>569</v>
      </c>
      <c r="G116" s="39" t="s">
        <v>57</v>
      </c>
      <c r="H116" s="47" t="s">
        <v>68</v>
      </c>
      <c r="I116" s="129" t="s">
        <v>52</v>
      </c>
    </row>
    <row r="117" spans="1:9" s="1" customFormat="1" ht="30">
      <c r="A117" s="221"/>
      <c r="B117" s="55">
        <v>116</v>
      </c>
      <c r="C117" s="48" t="str">
        <f>B117&amp;". TECHNICAL SERVICE BULLETING/INSTRUCTION FOR SERVICE (TSB/ISA)"</f>
        <v>116. TECHNICAL SERVICE BULLETING/INSTRUCTION FOR SERVICE (TSB/ISA)</v>
      </c>
      <c r="D117" s="39" t="s">
        <v>34</v>
      </c>
      <c r="E117" s="39" t="s">
        <v>7</v>
      </c>
      <c r="F117" s="32" t="s">
        <v>566</v>
      </c>
      <c r="G117" s="39" t="s">
        <v>57</v>
      </c>
      <c r="H117" s="47" t="s">
        <v>68</v>
      </c>
      <c r="I117" s="129" t="s">
        <v>52</v>
      </c>
    </row>
    <row r="118" spans="1:9" s="1" customFormat="1" ht="75">
      <c r="A118" s="221"/>
      <c r="B118" s="55">
        <v>117</v>
      </c>
      <c r="C118" s="48" t="str">
        <f>B118&amp;". DOCUMENTS FOR MARKET RELEASE"</f>
        <v>117. DOCUMENTS FOR MARKET RELEASE</v>
      </c>
      <c r="D118" s="32" t="s">
        <v>3</v>
      </c>
      <c r="E118" s="39" t="s">
        <v>37</v>
      </c>
      <c r="F118" s="51" t="s">
        <v>363</v>
      </c>
      <c r="G118" s="47" t="s">
        <v>57</v>
      </c>
      <c r="H118" s="47" t="s">
        <v>68</v>
      </c>
      <c r="I118" s="129" t="s">
        <v>52</v>
      </c>
    </row>
    <row r="119" spans="1:9" s="1" customFormat="1" ht="105">
      <c r="A119" s="221"/>
      <c r="B119" s="55">
        <v>118</v>
      </c>
      <c r="C119" s="88" t="str">
        <f>B119&amp;". RELEASE NOTICE TO INPECO"</f>
        <v>118. RELEASE NOTICE TO INPECO</v>
      </c>
      <c r="D119" s="39" t="s">
        <v>9</v>
      </c>
      <c r="E119" s="39" t="s">
        <v>455</v>
      </c>
      <c r="F119" s="32" t="s">
        <v>571</v>
      </c>
      <c r="G119" s="47" t="s">
        <v>57</v>
      </c>
      <c r="H119" s="47" t="s">
        <v>68</v>
      </c>
      <c r="I119" s="129" t="s">
        <v>52</v>
      </c>
    </row>
    <row r="120" spans="1:9" s="1" customFormat="1" ht="30">
      <c r="A120" s="221"/>
      <c r="B120" s="55">
        <v>119</v>
      </c>
      <c r="C120" s="88" t="str">
        <f>B120&amp;". RELEASE NOTICE TO MARKET"</f>
        <v>119. RELEASE NOTICE TO MARKET</v>
      </c>
      <c r="D120" s="50" t="s">
        <v>3</v>
      </c>
      <c r="E120" s="39" t="s">
        <v>33</v>
      </c>
      <c r="F120" s="32" t="s">
        <v>447</v>
      </c>
      <c r="G120" s="47" t="s">
        <v>57</v>
      </c>
      <c r="H120" s="47" t="s">
        <v>68</v>
      </c>
      <c r="I120" s="129" t="s">
        <v>52</v>
      </c>
    </row>
    <row r="121" spans="1:9" s="30" customFormat="1" ht="45">
      <c r="A121" s="221"/>
      <c r="B121" s="55">
        <v>120</v>
      </c>
      <c r="C121" s="45" t="str">
        <f>B121&amp;". DEVELOPMENT PROJECT CLOSURE"</f>
        <v>120. DEVELOPMENT PROJECT CLOSURE</v>
      </c>
      <c r="D121" s="37" t="s">
        <v>9</v>
      </c>
      <c r="E121" s="42" t="s">
        <v>10</v>
      </c>
      <c r="F121" s="32" t="s">
        <v>527</v>
      </c>
      <c r="G121" s="39" t="s">
        <v>50</v>
      </c>
      <c r="H121" s="36" t="s">
        <v>51</v>
      </c>
      <c r="I121" s="129" t="s">
        <v>52</v>
      </c>
    </row>
    <row r="122" spans="1:9" ht="135.75" thickBot="1">
      <c r="A122" s="222"/>
      <c r="B122" s="148">
        <v>121</v>
      </c>
      <c r="C122" s="57" t="str">
        <f>B122&amp;". RELEASE TO MARKET REVIEW MEETING"</f>
        <v>121. RELEASE TO MARKET REVIEW MEETING</v>
      </c>
      <c r="D122" s="54" t="s">
        <v>9</v>
      </c>
      <c r="E122" s="54" t="s">
        <v>454</v>
      </c>
      <c r="F122" s="46" t="s">
        <v>456</v>
      </c>
      <c r="G122" s="54" t="s">
        <v>67</v>
      </c>
      <c r="H122" s="139" t="s">
        <v>68</v>
      </c>
      <c r="I122" s="132" t="s">
        <v>52</v>
      </c>
    </row>
  </sheetData>
  <autoFilter ref="A1:I109" xr:uid="{DA3F143D-EF0E-4030-B60A-1EF40D078D2E}"/>
  <mergeCells count="4">
    <mergeCell ref="A2:A45"/>
    <mergeCell ref="A46:A85"/>
    <mergeCell ref="A110:A122"/>
    <mergeCell ref="A86:A109"/>
  </mergeCells>
  <phoneticPr fontId="25" type="noConversion"/>
  <pageMargins left="0.47244094488188981" right="0.59055118110236227" top="0.98425196850393704" bottom="1.0236220472440944" header="0.31496062992125984" footer="0.31496062992125984"/>
  <pageSetup paperSize="9" scale="29" fitToHeight="0" orientation="portrait" r:id="rId1"/>
  <headerFooter>
    <oddHeader>&amp;L&amp;G&amp;R&amp;"Montserrat,Bold"&amp;12&amp;K00B4E4Project Management Checklist</oddHeader>
    <oddFooter>&amp;L&amp;"Monserrat,Regular"&amp;10MOD-PMC.5
&amp;KEA8651Document code &amp;C&amp;"Montserrat,Regular"&amp;10&amp;K333333***CONFIDENTIAL***&amp;R&amp;"Montserrat,Regular"&amp;10&amp;K333333Page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D0BEA-83E7-4BBA-B16D-05F3639C6E62}">
  <sheetPr>
    <pageSetUpPr fitToPage="1"/>
  </sheetPr>
  <dimension ref="A1:I58"/>
  <sheetViews>
    <sheetView showGridLines="0" view="pageLayout" topLeftCell="A8" zoomScale="87" zoomScaleNormal="100" zoomScalePageLayoutView="87" workbookViewId="0">
      <selection activeCell="A34" sqref="A34:XFD58"/>
    </sheetView>
  </sheetViews>
  <sheetFormatPr defaultColWidth="8.85546875" defaultRowHeight="15"/>
  <cols>
    <col min="1" max="1" width="17.7109375" style="24" customWidth="1"/>
    <col min="2" max="6" width="13.28515625" style="24" customWidth="1"/>
    <col min="7" max="7" width="18.42578125" style="24" customWidth="1"/>
    <col min="8" max="8" width="13.28515625" style="24" customWidth="1"/>
    <col min="9" max="9" width="28.140625" style="24" customWidth="1"/>
    <col min="10" max="16384" width="8.85546875" style="24"/>
  </cols>
  <sheetData>
    <row r="1" spans="1:9" ht="30" customHeight="1">
      <c r="A1" s="189" t="s">
        <v>111</v>
      </c>
      <c r="B1" s="190"/>
      <c r="C1" s="190"/>
      <c r="D1" s="190"/>
      <c r="E1" s="190"/>
      <c r="F1" s="190"/>
      <c r="G1" s="190"/>
      <c r="H1" s="190"/>
      <c r="I1" s="191"/>
    </row>
    <row r="2" spans="1:9" ht="22.9" customHeight="1">
      <c r="A2" s="192" t="s">
        <v>112</v>
      </c>
      <c r="B2" s="193"/>
      <c r="C2" s="193"/>
      <c r="D2" s="303" t="s">
        <v>113</v>
      </c>
      <c r="E2" s="304"/>
      <c r="F2" s="304"/>
      <c r="G2" s="304"/>
      <c r="H2" s="304"/>
      <c r="I2" s="305"/>
    </row>
    <row r="3" spans="1:9" ht="25.9" customHeight="1">
      <c r="A3" s="297" t="s">
        <v>114</v>
      </c>
      <c r="B3" s="298"/>
      <c r="C3" s="298"/>
      <c r="D3" s="298"/>
      <c r="E3" s="298"/>
      <c r="F3" s="298"/>
      <c r="G3" s="298"/>
      <c r="H3" s="298"/>
      <c r="I3" s="299"/>
    </row>
    <row r="4" spans="1:9" ht="18">
      <c r="A4" s="300" t="s">
        <v>115</v>
      </c>
      <c r="B4" s="301"/>
      <c r="C4" s="301"/>
      <c r="D4" s="301"/>
      <c r="E4" s="301"/>
      <c r="F4" s="301" t="s">
        <v>116</v>
      </c>
      <c r="G4" s="301"/>
      <c r="H4" s="301"/>
      <c r="I4" s="302"/>
    </row>
    <row r="5" spans="1:9" ht="42" customHeight="1">
      <c r="A5" s="292" t="s">
        <v>117</v>
      </c>
      <c r="B5" s="293"/>
      <c r="C5" s="293"/>
      <c r="D5" s="293"/>
      <c r="E5" s="294"/>
      <c r="F5" s="295" t="s">
        <v>117</v>
      </c>
      <c r="G5" s="293"/>
      <c r="H5" s="293"/>
      <c r="I5" s="296"/>
    </row>
    <row r="6" spans="1:9" ht="18">
      <c r="A6" s="283"/>
      <c r="B6" s="284"/>
      <c r="C6" s="284"/>
      <c r="D6" s="284"/>
      <c r="E6" s="285"/>
      <c r="F6" s="286"/>
      <c r="G6" s="284"/>
      <c r="H6" s="284"/>
      <c r="I6" s="287"/>
    </row>
    <row r="7" spans="1:9" ht="18">
      <c r="A7" s="83"/>
      <c r="B7" s="66"/>
      <c r="C7" s="66"/>
      <c r="D7" s="66"/>
      <c r="E7" s="67"/>
      <c r="F7" s="65"/>
      <c r="G7" s="66"/>
      <c r="H7" s="66"/>
      <c r="I7" s="84"/>
    </row>
    <row r="8" spans="1:9" ht="18">
      <c r="A8" s="83"/>
      <c r="B8" s="66"/>
      <c r="C8" s="66"/>
      <c r="D8" s="66"/>
      <c r="E8" s="67"/>
      <c r="F8" s="65"/>
      <c r="G8" s="66"/>
      <c r="H8" s="66"/>
      <c r="I8" s="84"/>
    </row>
    <row r="9" spans="1:9" ht="18">
      <c r="A9" s="283"/>
      <c r="B9" s="284"/>
      <c r="C9" s="284"/>
      <c r="D9" s="284"/>
      <c r="E9" s="285"/>
      <c r="F9" s="286"/>
      <c r="G9" s="284"/>
      <c r="H9" s="284"/>
      <c r="I9" s="287"/>
    </row>
    <row r="10" spans="1:9" ht="51.6" customHeight="1">
      <c r="A10" s="159" t="s">
        <v>118</v>
      </c>
      <c r="B10" s="160"/>
      <c r="C10" s="160"/>
      <c r="D10" s="160"/>
      <c r="E10" s="161"/>
      <c r="F10" s="162" t="s">
        <v>119</v>
      </c>
      <c r="G10" s="163"/>
      <c r="H10" s="163"/>
      <c r="I10" s="164"/>
    </row>
    <row r="11" spans="1:9" ht="18">
      <c r="A11" s="226" t="s">
        <v>120</v>
      </c>
      <c r="B11" s="227"/>
      <c r="C11" s="227"/>
      <c r="D11" s="227"/>
      <c r="E11" s="227"/>
      <c r="F11" s="227"/>
      <c r="G11" s="227"/>
      <c r="H11" s="227"/>
      <c r="I11" s="228"/>
    </row>
    <row r="12" spans="1:9" ht="16.899999999999999" customHeight="1">
      <c r="A12" s="273" t="s">
        <v>121</v>
      </c>
      <c r="B12" s="274"/>
      <c r="C12" s="274"/>
      <c r="D12" s="288"/>
      <c r="E12" s="288"/>
      <c r="F12" s="288"/>
      <c r="G12" s="288"/>
      <c r="H12" s="288"/>
      <c r="I12" s="289"/>
    </row>
    <row r="13" spans="1:9" ht="16.899999999999999" customHeight="1">
      <c r="A13" s="273" t="s">
        <v>122</v>
      </c>
      <c r="B13" s="274"/>
      <c r="C13" s="274"/>
      <c r="D13" s="288"/>
      <c r="E13" s="288"/>
      <c r="F13" s="288"/>
      <c r="G13" s="288"/>
      <c r="H13" s="288"/>
      <c r="I13" s="289"/>
    </row>
    <row r="14" spans="1:9" ht="18">
      <c r="A14" s="273" t="s">
        <v>123</v>
      </c>
      <c r="B14" s="274"/>
      <c r="C14" s="274"/>
      <c r="D14" s="288"/>
      <c r="E14" s="288"/>
      <c r="F14" s="288"/>
      <c r="G14" s="288"/>
      <c r="H14" s="288"/>
      <c r="I14" s="289"/>
    </row>
    <row r="15" spans="1:9" ht="18">
      <c r="A15" s="265" t="s">
        <v>124</v>
      </c>
      <c r="B15" s="266"/>
      <c r="C15" s="266"/>
      <c r="D15" s="269"/>
      <c r="E15" s="269"/>
      <c r="F15" s="269"/>
      <c r="G15" s="269"/>
      <c r="H15" s="269"/>
      <c r="I15" s="270"/>
    </row>
    <row r="16" spans="1:9" ht="18">
      <c r="A16" s="267" t="s">
        <v>125</v>
      </c>
      <c r="B16" s="268"/>
      <c r="C16" s="268"/>
      <c r="D16" s="271"/>
      <c r="E16" s="271"/>
      <c r="F16" s="271"/>
      <c r="G16" s="271"/>
      <c r="H16" s="271"/>
      <c r="I16" s="272"/>
    </row>
    <row r="17" spans="1:9" ht="18" customHeight="1">
      <c r="A17" s="226" t="s">
        <v>126</v>
      </c>
      <c r="B17" s="227"/>
      <c r="C17" s="227"/>
      <c r="D17" s="227"/>
      <c r="E17" s="227"/>
      <c r="F17" s="227"/>
      <c r="G17" s="227"/>
      <c r="H17" s="227"/>
      <c r="I17" s="228"/>
    </row>
    <row r="18" spans="1:9" ht="18">
      <c r="A18" s="273" t="s">
        <v>4</v>
      </c>
      <c r="B18" s="274"/>
      <c r="C18" s="274"/>
      <c r="D18" s="233" t="s">
        <v>117</v>
      </c>
      <c r="E18" s="233"/>
      <c r="F18" s="233"/>
      <c r="G18" s="233"/>
      <c r="H18" s="233"/>
      <c r="I18" s="234"/>
    </row>
    <row r="19" spans="1:9" ht="18">
      <c r="A19" s="273" t="s">
        <v>127</v>
      </c>
      <c r="B19" s="274"/>
      <c r="C19" s="274"/>
      <c r="D19" s="233" t="s">
        <v>117</v>
      </c>
      <c r="E19" s="233"/>
      <c r="F19" s="233"/>
      <c r="G19" s="233"/>
      <c r="H19" s="233"/>
      <c r="I19" s="234"/>
    </row>
    <row r="20" spans="1:9" ht="18">
      <c r="A20" s="273" t="s">
        <v>128</v>
      </c>
      <c r="B20" s="274"/>
      <c r="C20" s="274"/>
      <c r="D20" s="233" t="s">
        <v>117</v>
      </c>
      <c r="E20" s="233"/>
      <c r="F20" s="233"/>
      <c r="G20" s="233"/>
      <c r="H20" s="233"/>
      <c r="I20" s="234"/>
    </row>
    <row r="21" spans="1:9" ht="18">
      <c r="A21" s="273" t="s">
        <v>129</v>
      </c>
      <c r="B21" s="274"/>
      <c r="C21" s="274"/>
      <c r="D21" s="233" t="s">
        <v>117</v>
      </c>
      <c r="E21" s="233"/>
      <c r="F21" s="233"/>
      <c r="G21" s="233"/>
      <c r="H21" s="233"/>
      <c r="I21" s="234"/>
    </row>
    <row r="22" spans="1:9" ht="18">
      <c r="A22" s="273" t="s">
        <v>130</v>
      </c>
      <c r="B22" s="274"/>
      <c r="C22" s="274"/>
      <c r="D22" s="233" t="s">
        <v>117</v>
      </c>
      <c r="E22" s="233"/>
      <c r="F22" s="233"/>
      <c r="G22" s="233"/>
      <c r="H22" s="233"/>
      <c r="I22" s="234"/>
    </row>
    <row r="23" spans="1:9" ht="18">
      <c r="A23" s="273" t="s">
        <v>131</v>
      </c>
      <c r="B23" s="274"/>
      <c r="C23" s="274"/>
      <c r="D23" s="233" t="s">
        <v>117</v>
      </c>
      <c r="E23" s="233"/>
      <c r="F23" s="233"/>
      <c r="G23" s="233"/>
      <c r="H23" s="233"/>
      <c r="I23" s="234"/>
    </row>
    <row r="24" spans="1:9" ht="18">
      <c r="A24" s="267" t="s">
        <v>132</v>
      </c>
      <c r="B24" s="268"/>
      <c r="C24" s="268"/>
      <c r="D24" s="249" t="s">
        <v>117</v>
      </c>
      <c r="E24" s="249"/>
      <c r="F24" s="249"/>
      <c r="G24" s="249"/>
      <c r="H24" s="249"/>
      <c r="I24" s="250"/>
    </row>
    <row r="25" spans="1:9" ht="18">
      <c r="A25" s="226" t="s">
        <v>133</v>
      </c>
      <c r="B25" s="227"/>
      <c r="C25" s="227"/>
      <c r="D25" s="227"/>
      <c r="E25" s="227"/>
      <c r="F25" s="227"/>
      <c r="G25" s="227"/>
      <c r="H25" s="227"/>
      <c r="I25" s="228"/>
    </row>
    <row r="26" spans="1:9" ht="70.900000000000006" customHeight="1">
      <c r="A26" s="275" t="s">
        <v>134</v>
      </c>
      <c r="B26" s="263"/>
      <c r="C26" s="263"/>
      <c r="D26" s="263"/>
      <c r="E26" s="263"/>
      <c r="F26" s="263"/>
      <c r="G26" s="263"/>
      <c r="H26" s="263"/>
      <c r="I26" s="264"/>
    </row>
    <row r="27" spans="1:9" ht="18">
      <c r="A27" s="280" t="s">
        <v>135</v>
      </c>
      <c r="B27" s="281"/>
      <c r="C27" s="281"/>
      <c r="D27" s="281"/>
      <c r="E27" s="281"/>
      <c r="F27" s="281"/>
      <c r="G27" s="281"/>
      <c r="H27" s="281"/>
      <c r="I27" s="282"/>
    </row>
    <row r="28" spans="1:9" ht="18">
      <c r="A28" s="276" t="s">
        <v>100</v>
      </c>
      <c r="B28" s="277"/>
      <c r="C28" s="277"/>
      <c r="D28" s="277"/>
      <c r="E28" s="277"/>
      <c r="F28" s="277"/>
      <c r="G28" s="278" t="s">
        <v>136</v>
      </c>
      <c r="H28" s="277"/>
      <c r="I28" s="279"/>
    </row>
    <row r="29" spans="1:9" ht="45" customHeight="1">
      <c r="A29" s="261" t="s">
        <v>137</v>
      </c>
      <c r="B29" s="262"/>
      <c r="C29" s="262"/>
      <c r="D29" s="262"/>
      <c r="E29" s="262"/>
      <c r="F29" s="262"/>
      <c r="G29" s="263" t="s">
        <v>138</v>
      </c>
      <c r="H29" s="263"/>
      <c r="I29" s="264"/>
    </row>
    <row r="30" spans="1:9" ht="34.15" customHeight="1">
      <c r="A30" s="226" t="s">
        <v>139</v>
      </c>
      <c r="B30" s="227"/>
      <c r="C30" s="227"/>
      <c r="D30" s="227"/>
      <c r="E30" s="227"/>
      <c r="F30" s="227"/>
      <c r="G30" s="227"/>
      <c r="H30" s="227"/>
      <c r="I30" s="228"/>
    </row>
    <row r="31" spans="1:9" ht="18.75">
      <c r="A31" s="81" t="s">
        <v>140</v>
      </c>
      <c r="B31" s="82" t="s">
        <v>141</v>
      </c>
      <c r="C31" s="251" t="s">
        <v>142</v>
      </c>
      <c r="D31" s="252"/>
      <c r="E31" s="252"/>
      <c r="F31" s="253"/>
      <c r="G31" s="82" t="s">
        <v>143</v>
      </c>
      <c r="H31" s="251" t="s">
        <v>144</v>
      </c>
      <c r="I31" s="252"/>
    </row>
    <row r="32" spans="1:9" ht="18">
      <c r="A32" s="86"/>
      <c r="B32" s="86"/>
      <c r="C32" s="256" t="s">
        <v>145</v>
      </c>
      <c r="D32" s="257"/>
      <c r="E32" s="257"/>
      <c r="F32" s="258"/>
      <c r="G32" s="80"/>
      <c r="H32" s="259"/>
      <c r="I32" s="260"/>
    </row>
    <row r="33" spans="1:9" ht="18">
      <c r="A33" s="87"/>
      <c r="B33" s="87"/>
      <c r="C33" s="254"/>
      <c r="D33" s="254"/>
      <c r="E33" s="254"/>
      <c r="F33" s="254"/>
      <c r="G33" s="79"/>
      <c r="H33" s="255"/>
      <c r="I33" s="255"/>
    </row>
    <row r="34" spans="1:9" ht="18">
      <c r="A34" s="226" t="s">
        <v>146</v>
      </c>
      <c r="B34" s="227"/>
      <c r="C34" s="227"/>
      <c r="D34" s="227"/>
      <c r="E34" s="227"/>
      <c r="F34" s="227"/>
      <c r="G34" s="227"/>
      <c r="H34" s="227"/>
      <c r="I34" s="228"/>
    </row>
    <row r="35" spans="1:9" ht="18">
      <c r="A35" s="229" t="s">
        <v>147</v>
      </c>
      <c r="B35" s="230"/>
      <c r="C35" s="230"/>
      <c r="D35" s="233" t="s">
        <v>117</v>
      </c>
      <c r="E35" s="233"/>
      <c r="F35" s="233"/>
      <c r="G35" s="233"/>
      <c r="H35" s="233"/>
      <c r="I35" s="234"/>
    </row>
    <row r="36" spans="1:9" ht="18">
      <c r="A36" s="229" t="s">
        <v>148</v>
      </c>
      <c r="B36" s="230"/>
      <c r="C36" s="230"/>
      <c r="D36" s="233" t="s">
        <v>117</v>
      </c>
      <c r="E36" s="233"/>
      <c r="F36" s="233"/>
      <c r="G36" s="233"/>
      <c r="H36" s="233"/>
      <c r="I36" s="234"/>
    </row>
    <row r="37" spans="1:9" ht="18">
      <c r="A37" s="229" t="s">
        <v>149</v>
      </c>
      <c r="B37" s="230"/>
      <c r="C37" s="230"/>
      <c r="D37" s="233" t="s">
        <v>117</v>
      </c>
      <c r="E37" s="233"/>
      <c r="F37" s="233"/>
      <c r="G37" s="233"/>
      <c r="H37" s="233"/>
      <c r="I37" s="234"/>
    </row>
    <row r="38" spans="1:9" ht="18">
      <c r="A38" s="229" t="s">
        <v>150</v>
      </c>
      <c r="B38" s="230"/>
      <c r="C38" s="230"/>
      <c r="D38" s="233" t="s">
        <v>117</v>
      </c>
      <c r="E38" s="233"/>
      <c r="F38" s="233"/>
      <c r="G38" s="233"/>
      <c r="H38" s="233"/>
      <c r="I38" s="234"/>
    </row>
    <row r="39" spans="1:9" ht="18">
      <c r="A39" s="229" t="s">
        <v>151</v>
      </c>
      <c r="B39" s="230"/>
      <c r="C39" s="230"/>
      <c r="D39" s="233" t="s">
        <v>117</v>
      </c>
      <c r="E39" s="233"/>
      <c r="F39" s="233"/>
      <c r="G39" s="233"/>
      <c r="H39" s="233"/>
      <c r="I39" s="234"/>
    </row>
    <row r="40" spans="1:9" ht="18">
      <c r="A40" s="229" t="s">
        <v>152</v>
      </c>
      <c r="B40" s="230"/>
      <c r="C40" s="230"/>
      <c r="D40" s="233" t="s">
        <v>117</v>
      </c>
      <c r="E40" s="233"/>
      <c r="F40" s="233"/>
      <c r="G40" s="233"/>
      <c r="H40" s="233"/>
      <c r="I40" s="234"/>
    </row>
    <row r="41" spans="1:9" ht="18">
      <c r="A41" s="229" t="s">
        <v>153</v>
      </c>
      <c r="B41" s="230"/>
      <c r="C41" s="230"/>
      <c r="D41" s="233" t="s">
        <v>117</v>
      </c>
      <c r="E41" s="233"/>
      <c r="F41" s="233"/>
      <c r="G41" s="233"/>
      <c r="H41" s="233"/>
      <c r="I41" s="234"/>
    </row>
    <row r="42" spans="1:9" ht="18">
      <c r="A42" s="229" t="s">
        <v>154</v>
      </c>
      <c r="B42" s="230"/>
      <c r="C42" s="230"/>
      <c r="D42" s="233" t="s">
        <v>117</v>
      </c>
      <c r="E42" s="233"/>
      <c r="F42" s="233"/>
      <c r="G42" s="233"/>
      <c r="H42" s="233"/>
      <c r="I42" s="234"/>
    </row>
    <row r="43" spans="1:9" ht="18">
      <c r="A43" s="229" t="s">
        <v>155</v>
      </c>
      <c r="B43" s="230"/>
      <c r="C43" s="230"/>
      <c r="D43" s="233" t="s">
        <v>117</v>
      </c>
      <c r="E43" s="233"/>
      <c r="F43" s="233"/>
      <c r="G43" s="233"/>
      <c r="H43" s="233"/>
      <c r="I43" s="234"/>
    </row>
    <row r="44" spans="1:9" ht="18">
      <c r="A44" s="231" t="s">
        <v>156</v>
      </c>
      <c r="B44" s="232"/>
      <c r="C44" s="232"/>
      <c r="D44" s="249" t="s">
        <v>117</v>
      </c>
      <c r="E44" s="249"/>
      <c r="F44" s="249"/>
      <c r="G44" s="249"/>
      <c r="H44" s="249"/>
      <c r="I44" s="250"/>
    </row>
    <row r="45" spans="1:9" ht="18">
      <c r="A45" s="226" t="s">
        <v>157</v>
      </c>
      <c r="B45" s="227"/>
      <c r="C45" s="227"/>
      <c r="D45" s="227"/>
      <c r="E45" s="227"/>
      <c r="F45" s="227"/>
      <c r="G45" s="227"/>
      <c r="H45" s="227"/>
      <c r="I45" s="228"/>
    </row>
    <row r="46" spans="1:9" ht="18">
      <c r="A46" s="229" t="s">
        <v>158</v>
      </c>
      <c r="B46" s="230"/>
      <c r="C46" s="230"/>
      <c r="D46" s="233" t="s">
        <v>117</v>
      </c>
      <c r="E46" s="233"/>
      <c r="F46" s="233"/>
      <c r="G46" s="233"/>
      <c r="H46" s="233"/>
      <c r="I46" s="234"/>
    </row>
    <row r="47" spans="1:9" ht="18">
      <c r="A47" s="229" t="s">
        <v>159</v>
      </c>
      <c r="B47" s="230"/>
      <c r="C47" s="230"/>
      <c r="D47" s="233" t="s">
        <v>117</v>
      </c>
      <c r="E47" s="233"/>
      <c r="F47" s="233"/>
      <c r="G47" s="233"/>
      <c r="H47" s="233"/>
      <c r="I47" s="234"/>
    </row>
    <row r="48" spans="1:9" ht="18">
      <c r="A48" s="229" t="s">
        <v>160</v>
      </c>
      <c r="B48" s="230"/>
      <c r="C48" s="230"/>
      <c r="D48" s="233" t="s">
        <v>117</v>
      </c>
      <c r="E48" s="233"/>
      <c r="F48" s="233"/>
      <c r="G48" s="233"/>
      <c r="H48" s="233"/>
      <c r="I48" s="234"/>
    </row>
    <row r="49" spans="1:9" ht="18">
      <c r="A49" s="231" t="s">
        <v>161</v>
      </c>
      <c r="B49" s="232"/>
      <c r="C49" s="232"/>
      <c r="D49" s="233" t="s">
        <v>117</v>
      </c>
      <c r="E49" s="233"/>
      <c r="F49" s="233"/>
      <c r="G49" s="233"/>
      <c r="H49" s="233"/>
      <c r="I49" s="234"/>
    </row>
    <row r="50" spans="1:9" ht="18">
      <c r="A50" s="290" t="s">
        <v>162</v>
      </c>
      <c r="B50" s="291"/>
      <c r="C50" s="291"/>
      <c r="D50" s="233" t="s">
        <v>163</v>
      </c>
      <c r="E50" s="233"/>
      <c r="F50" s="233"/>
      <c r="G50" s="233"/>
      <c r="H50" s="233"/>
      <c r="I50" s="233"/>
    </row>
    <row r="51" spans="1:9" ht="18">
      <c r="A51" s="226" t="s">
        <v>164</v>
      </c>
      <c r="B51" s="227"/>
      <c r="C51" s="227"/>
      <c r="D51" s="204"/>
      <c r="E51" s="204"/>
      <c r="F51" s="204"/>
      <c r="G51" s="204"/>
      <c r="H51" s="204"/>
      <c r="I51" s="240"/>
    </row>
    <row r="52" spans="1:9" ht="18">
      <c r="A52" s="229" t="s">
        <v>165</v>
      </c>
      <c r="B52" s="230" t="s">
        <v>166</v>
      </c>
      <c r="C52" s="230"/>
      <c r="D52" s="241" t="s">
        <v>167</v>
      </c>
      <c r="E52" s="241"/>
      <c r="F52" s="241"/>
      <c r="G52" s="241"/>
      <c r="H52" s="241"/>
      <c r="I52" s="242"/>
    </row>
    <row r="53" spans="1:9" ht="18">
      <c r="A53" s="231" t="s">
        <v>168</v>
      </c>
      <c r="B53" s="232" t="s">
        <v>169</v>
      </c>
      <c r="C53" s="232"/>
      <c r="D53" s="243" t="s">
        <v>170</v>
      </c>
      <c r="E53" s="243"/>
      <c r="F53" s="243"/>
      <c r="G53" s="243"/>
      <c r="H53" s="243"/>
      <c r="I53" s="244"/>
    </row>
    <row r="54" spans="1:9" ht="18">
      <c r="A54" s="226" t="s">
        <v>171</v>
      </c>
      <c r="B54" s="227"/>
      <c r="C54" s="227"/>
      <c r="D54" s="227"/>
      <c r="E54" s="227"/>
      <c r="F54" s="227"/>
      <c r="G54" s="227"/>
      <c r="H54" s="227"/>
      <c r="I54" s="228"/>
    </row>
    <row r="55" spans="1:9" ht="60" customHeight="1">
      <c r="A55" s="237" t="s">
        <v>172</v>
      </c>
      <c r="B55" s="238"/>
      <c r="C55" s="238"/>
      <c r="D55" s="238"/>
      <c r="E55" s="238"/>
      <c r="F55" s="238"/>
      <c r="G55" s="238"/>
      <c r="H55" s="238"/>
      <c r="I55" s="239"/>
    </row>
    <row r="56" spans="1:9" ht="29.45" customHeight="1">
      <c r="A56" s="245" t="s">
        <v>173</v>
      </c>
      <c r="B56" s="246"/>
      <c r="C56" s="246"/>
      <c r="D56" s="247" t="s">
        <v>174</v>
      </c>
      <c r="E56" s="247"/>
      <c r="F56" s="247"/>
      <c r="G56" s="247"/>
      <c r="H56" s="247"/>
      <c r="I56" s="248"/>
    </row>
    <row r="57" spans="1:9" ht="29.45" customHeight="1">
      <c r="A57" s="245" t="s">
        <v>175</v>
      </c>
      <c r="B57" s="246"/>
      <c r="C57" s="246"/>
      <c r="D57" s="247" t="s">
        <v>176</v>
      </c>
      <c r="E57" s="247"/>
      <c r="F57" s="247"/>
      <c r="G57" s="247"/>
      <c r="H57" s="247"/>
      <c r="I57" s="248"/>
    </row>
    <row r="58" spans="1:9" ht="39" customHeight="1">
      <c r="A58" s="231" t="s">
        <v>177</v>
      </c>
      <c r="B58" s="232"/>
      <c r="C58" s="232"/>
      <c r="D58" s="235" t="s">
        <v>174</v>
      </c>
      <c r="E58" s="235"/>
      <c r="F58" s="235"/>
      <c r="G58" s="235"/>
      <c r="H58" s="235"/>
      <c r="I58" s="236"/>
    </row>
  </sheetData>
  <mergeCells count="99">
    <mergeCell ref="A50:C50"/>
    <mergeCell ref="D50:I50"/>
    <mergeCell ref="A5:E5"/>
    <mergeCell ref="F5:I5"/>
    <mergeCell ref="A1:I1"/>
    <mergeCell ref="A2:C2"/>
    <mergeCell ref="A3:I3"/>
    <mergeCell ref="A4:E4"/>
    <mergeCell ref="F4:I4"/>
    <mergeCell ref="D2:I2"/>
    <mergeCell ref="A11:I11"/>
    <mergeCell ref="A12:C12"/>
    <mergeCell ref="D12:I12"/>
    <mergeCell ref="A14:C14"/>
    <mergeCell ref="A6:E6"/>
    <mergeCell ref="F6:I6"/>
    <mergeCell ref="A9:E9"/>
    <mergeCell ref="F9:I9"/>
    <mergeCell ref="A10:E10"/>
    <mergeCell ref="F10:I10"/>
    <mergeCell ref="D14:I14"/>
    <mergeCell ref="A13:C13"/>
    <mergeCell ref="D13:I13"/>
    <mergeCell ref="A30:I30"/>
    <mergeCell ref="A19:C19"/>
    <mergeCell ref="D19:I19"/>
    <mergeCell ref="A25:I25"/>
    <mergeCell ref="A21:C21"/>
    <mergeCell ref="D21:I21"/>
    <mergeCell ref="A22:C22"/>
    <mergeCell ref="A26:I26"/>
    <mergeCell ref="D22:I22"/>
    <mergeCell ref="A23:C23"/>
    <mergeCell ref="D23:I23"/>
    <mergeCell ref="A24:C24"/>
    <mergeCell ref="D24:I24"/>
    <mergeCell ref="A28:F28"/>
    <mergeCell ref="G28:I28"/>
    <mergeCell ref="A27:I27"/>
    <mergeCell ref="A29:F29"/>
    <mergeCell ref="G29:I29"/>
    <mergeCell ref="A15:C15"/>
    <mergeCell ref="A16:C16"/>
    <mergeCell ref="D15:I15"/>
    <mergeCell ref="D16:I16"/>
    <mergeCell ref="A20:C20"/>
    <mergeCell ref="D20:I20"/>
    <mergeCell ref="A17:I17"/>
    <mergeCell ref="A18:C18"/>
    <mergeCell ref="D18:I18"/>
    <mergeCell ref="A38:C38"/>
    <mergeCell ref="D36:I36"/>
    <mergeCell ref="D37:I37"/>
    <mergeCell ref="D38:I38"/>
    <mergeCell ref="D35:I35"/>
    <mergeCell ref="A35:C35"/>
    <mergeCell ref="A34:I34"/>
    <mergeCell ref="A36:C36"/>
    <mergeCell ref="A37:C37"/>
    <mergeCell ref="H31:I31"/>
    <mergeCell ref="C31:F31"/>
    <mergeCell ref="C33:F33"/>
    <mergeCell ref="H33:I33"/>
    <mergeCell ref="C32:F32"/>
    <mergeCell ref="H32:I32"/>
    <mergeCell ref="A44:C44"/>
    <mergeCell ref="D39:I39"/>
    <mergeCell ref="D40:I40"/>
    <mergeCell ref="D41:I41"/>
    <mergeCell ref="D42:I42"/>
    <mergeCell ref="D43:I43"/>
    <mergeCell ref="D44:I44"/>
    <mergeCell ref="A39:C39"/>
    <mergeCell ref="A40:C40"/>
    <mergeCell ref="A41:C41"/>
    <mergeCell ref="A42:C42"/>
    <mergeCell ref="A43:C43"/>
    <mergeCell ref="A54:I54"/>
    <mergeCell ref="D58:I58"/>
    <mergeCell ref="A58:C58"/>
    <mergeCell ref="A55:I55"/>
    <mergeCell ref="A51:I51"/>
    <mergeCell ref="D52:I52"/>
    <mergeCell ref="D53:I53"/>
    <mergeCell ref="A52:C52"/>
    <mergeCell ref="A53:C53"/>
    <mergeCell ref="A56:C56"/>
    <mergeCell ref="D56:I56"/>
    <mergeCell ref="A57:C57"/>
    <mergeCell ref="D57:I57"/>
    <mergeCell ref="A45:I45"/>
    <mergeCell ref="A46:C46"/>
    <mergeCell ref="A47:C47"/>
    <mergeCell ref="A48:C48"/>
    <mergeCell ref="A49:C49"/>
    <mergeCell ref="D46:I46"/>
    <mergeCell ref="D47:I47"/>
    <mergeCell ref="D48:I48"/>
    <mergeCell ref="D49:I49"/>
  </mergeCells>
  <pageMargins left="0.65833333333333333" right="0.59166666666666667" top="0.96666666666666667" bottom="1.0333333333333334" header="0.3" footer="0.3"/>
  <pageSetup paperSize="9" scale="62" fitToHeight="0" orientation="portrait" r:id="rId1"/>
  <headerFooter>
    <oddHeader xml:space="preserve">&amp;L&amp;G&amp;C&amp;"Montserrat,Bold"&amp;12&amp;K00B4E4Kick Off Review&amp;R&amp;"Montserrat,Bold"&amp;12&amp;K00B4E4Project Phase Review </oddHeader>
    <oddFooter>&amp;L&amp;"Montserrat,Regular"&amp;K000000MOD-PPR.1&amp;KFF0000
&amp;KEA8651Document code &amp;C&amp;"Montserrat,Regular"&amp;10&amp;K333333***CONFIDENTIAL***&amp;R&amp;"Montserrat,Regular"&amp;10&amp;K333333Page &amp;P of &amp;N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615F-1519-4523-BE6E-788D5D6994CF}">
  <sheetPr>
    <pageSetUpPr fitToPage="1"/>
  </sheetPr>
  <dimension ref="A1:E5"/>
  <sheetViews>
    <sheetView showGridLines="0" view="pageLayout" zoomScale="87" zoomScaleNormal="100" zoomScalePageLayoutView="87" workbookViewId="0">
      <selection activeCell="B4" sqref="B4"/>
    </sheetView>
  </sheetViews>
  <sheetFormatPr defaultColWidth="8.85546875" defaultRowHeight="15"/>
  <cols>
    <col min="1" max="1" width="16.5703125" style="1" customWidth="1"/>
    <col min="2" max="2" width="13.28515625" style="1" customWidth="1"/>
    <col min="3" max="3" width="27.5703125" style="1" customWidth="1"/>
    <col min="4" max="4" width="15.85546875" style="1" customWidth="1"/>
    <col min="5" max="5" width="22.42578125" style="1" customWidth="1"/>
    <col min="6" max="16384" width="8.85546875" style="1"/>
  </cols>
  <sheetData>
    <row r="1" spans="1:5" ht="30" customHeight="1">
      <c r="A1" s="306" t="s">
        <v>178</v>
      </c>
      <c r="B1" s="307"/>
      <c r="C1" s="307"/>
      <c r="D1" s="307"/>
      <c r="E1" s="308"/>
    </row>
    <row r="2" spans="1:5" ht="18.75">
      <c r="A2" s="22" t="s">
        <v>140</v>
      </c>
      <c r="B2" s="19" t="s">
        <v>141</v>
      </c>
      <c r="C2" s="20" t="s">
        <v>142</v>
      </c>
      <c r="D2" s="21" t="s">
        <v>143</v>
      </c>
      <c r="E2" s="23" t="s">
        <v>144</v>
      </c>
    </row>
    <row r="3" spans="1:5">
      <c r="A3" s="18"/>
      <c r="B3" s="18"/>
      <c r="C3" s="18"/>
      <c r="D3" s="18"/>
      <c r="E3" s="18"/>
    </row>
    <row r="4" spans="1:5">
      <c r="A4" s="18"/>
      <c r="B4" s="18"/>
      <c r="C4" s="18"/>
      <c r="D4" s="18"/>
      <c r="E4" s="18"/>
    </row>
    <row r="5" spans="1:5">
      <c r="A5" s="18"/>
      <c r="B5" s="18"/>
      <c r="C5" s="18"/>
      <c r="D5" s="18"/>
      <c r="E5" s="18"/>
    </row>
  </sheetData>
  <mergeCells count="1">
    <mergeCell ref="A1:E1"/>
  </mergeCells>
  <pageMargins left="0.65833333333333333" right="0.59166666666666667" top="0.96666666666666667" bottom="1.0333333333333334" header="0.3" footer="0.3"/>
  <pageSetup paperSize="9" scale="93" orientation="portrait" r:id="rId1"/>
  <headerFooter>
    <oddHeader>&amp;L&amp;G&amp;C&amp;"Montserrat,Bold"&amp;12&amp;K00B4E4Attachment A - Tickets&amp;R&amp;"Montserrat,Bold"&amp;12&amp;K00B4E4Project Phase Review</oddHeader>
    <oddFooter>&amp;L&amp;"Montserrat,Regular"&amp;10MOD-PPR.1
&amp;KEA8651Document code &amp;C&amp;"Montserrat,Regular"&amp;10&amp;K333333***CONFIDENTIAL***&amp;R&amp;"Montserrat,Regular"&amp;10&amp;K333333Page &amp;P of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2"/>
  <sheetViews>
    <sheetView view="pageLayout" topLeftCell="A19" zoomScaleNormal="100" workbookViewId="0">
      <selection activeCell="G33" sqref="G33"/>
    </sheetView>
  </sheetViews>
  <sheetFormatPr defaultColWidth="8.85546875" defaultRowHeight="15"/>
  <cols>
    <col min="1" max="8" width="8.85546875" style="1"/>
    <col min="9" max="9" width="7.42578125" style="1" customWidth="1"/>
    <col min="10" max="11" width="9.28515625" style="1" customWidth="1"/>
    <col min="12" max="16384" width="8.85546875" style="1"/>
  </cols>
  <sheetData>
    <row r="1" spans="1:13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>
      <c r="A4" s="4"/>
      <c r="B4" s="4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>
      <c r="A5" s="5"/>
      <c r="B5" s="5"/>
      <c r="C5" s="5"/>
      <c r="D5" s="320" t="s">
        <v>323</v>
      </c>
      <c r="E5" s="321"/>
      <c r="F5" s="321"/>
      <c r="G5" s="321"/>
      <c r="H5" s="321"/>
      <c r="I5" s="321"/>
      <c r="J5" s="5"/>
      <c r="K5" s="5"/>
      <c r="L5" s="5"/>
      <c r="M5" s="5"/>
    </row>
    <row r="6" spans="1:13">
      <c r="A6" s="5"/>
      <c r="B6" s="5"/>
      <c r="C6" s="5"/>
      <c r="D6" s="321"/>
      <c r="E6" s="321"/>
      <c r="F6" s="321"/>
      <c r="G6" s="321"/>
      <c r="H6" s="321"/>
      <c r="I6" s="321"/>
      <c r="J6" s="5"/>
      <c r="K6" s="5"/>
      <c r="L6" s="5"/>
      <c r="M6" s="5"/>
    </row>
    <row r="7" spans="1:13" ht="39" customHeight="1">
      <c r="A7" s="5"/>
      <c r="B7" s="5"/>
      <c r="C7" s="5"/>
      <c r="D7" s="321"/>
      <c r="E7" s="321"/>
      <c r="F7" s="321"/>
      <c r="G7" s="321"/>
      <c r="H7" s="321"/>
      <c r="I7" s="321"/>
      <c r="J7" s="5"/>
      <c r="K7" s="5"/>
      <c r="L7" s="5"/>
      <c r="M7" s="5"/>
    </row>
    <row r="8" spans="1:1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13" t="s">
        <v>98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5"/>
    </row>
    <row r="10" spans="1:13">
      <c r="A10" s="14"/>
      <c r="B10" s="14"/>
      <c r="C10" s="14"/>
      <c r="D10" s="14"/>
      <c r="E10" s="14"/>
      <c r="F10" s="15"/>
      <c r="G10" s="14"/>
      <c r="H10" s="14"/>
      <c r="I10" s="14"/>
      <c r="J10" s="14"/>
      <c r="K10" s="14"/>
      <c r="L10" s="3"/>
      <c r="M10" s="5"/>
    </row>
    <row r="11" spans="1:13" ht="33" customHeight="1">
      <c r="A11" s="5"/>
      <c r="B11" s="322" t="s">
        <v>99</v>
      </c>
      <c r="C11" s="323"/>
      <c r="D11" s="324" t="s">
        <v>100</v>
      </c>
      <c r="E11" s="325"/>
      <c r="F11" s="326"/>
      <c r="G11" s="324" t="s">
        <v>101</v>
      </c>
      <c r="H11" s="325"/>
      <c r="I11" s="325"/>
      <c r="J11" s="325"/>
      <c r="K11" s="325"/>
      <c r="L11" s="3"/>
      <c r="M11" s="5"/>
    </row>
    <row r="12" spans="1:13" ht="30" customHeight="1">
      <c r="A12" s="5"/>
      <c r="B12" s="317" t="s">
        <v>4</v>
      </c>
      <c r="C12" s="317"/>
      <c r="D12" s="318"/>
      <c r="E12" s="318"/>
      <c r="F12" s="318"/>
      <c r="G12" s="319"/>
      <c r="H12" s="319"/>
      <c r="I12" s="319"/>
      <c r="J12" s="319"/>
      <c r="K12" s="319"/>
      <c r="L12" s="3"/>
      <c r="M12" s="5"/>
    </row>
    <row r="13" spans="1:13" ht="52.15" customHeight="1">
      <c r="A13" s="5"/>
      <c r="B13" s="328" t="s">
        <v>102</v>
      </c>
      <c r="C13" s="328"/>
      <c r="D13" s="318"/>
      <c r="E13" s="318"/>
      <c r="F13" s="318"/>
      <c r="G13" s="319"/>
      <c r="H13" s="319"/>
      <c r="I13" s="319"/>
      <c r="J13" s="319"/>
      <c r="K13" s="319"/>
      <c r="L13" s="3"/>
      <c r="M13" s="5"/>
    </row>
    <row r="14" spans="1:13" ht="52.15" customHeight="1">
      <c r="A14" s="5"/>
      <c r="B14" s="315" t="s">
        <v>103</v>
      </c>
      <c r="C14" s="316"/>
      <c r="D14" s="309"/>
      <c r="E14" s="310"/>
      <c r="F14" s="311"/>
      <c r="G14" s="312"/>
      <c r="H14" s="313"/>
      <c r="I14" s="313"/>
      <c r="J14" s="313"/>
      <c r="K14" s="314"/>
      <c r="L14" s="3"/>
      <c r="M14" s="5"/>
    </row>
    <row r="15" spans="1:13" ht="91.15" customHeight="1">
      <c r="A15" s="5"/>
      <c r="B15" s="327" t="s">
        <v>324</v>
      </c>
      <c r="C15" s="327"/>
      <c r="D15" s="318"/>
      <c r="E15" s="318"/>
      <c r="F15" s="318"/>
      <c r="G15" s="319"/>
      <c r="H15" s="319"/>
      <c r="I15" s="319"/>
      <c r="J15" s="319"/>
      <c r="K15" s="319"/>
      <c r="L15" s="3"/>
      <c r="M15" s="5"/>
    </row>
    <row r="16" spans="1:13" ht="91.15" customHeight="1">
      <c r="A16" s="5"/>
      <c r="B16" s="327" t="s">
        <v>104</v>
      </c>
      <c r="C16" s="327"/>
      <c r="D16" s="309"/>
      <c r="E16" s="310"/>
      <c r="F16" s="311"/>
      <c r="G16" s="312"/>
      <c r="H16" s="313"/>
      <c r="I16" s="313"/>
      <c r="J16" s="313"/>
      <c r="K16" s="314"/>
      <c r="L16" s="3"/>
      <c r="M16" s="5"/>
    </row>
    <row r="17" spans="1:13" ht="125.45" customHeight="1">
      <c r="A17" s="5"/>
      <c r="B17" s="327" t="s">
        <v>325</v>
      </c>
      <c r="C17" s="327"/>
      <c r="D17" s="318"/>
      <c r="E17" s="318"/>
      <c r="F17" s="318"/>
      <c r="G17" s="319"/>
      <c r="H17" s="319"/>
      <c r="I17" s="319"/>
      <c r="J17" s="319"/>
      <c r="K17" s="319"/>
      <c r="L17" s="3"/>
      <c r="M17" s="5"/>
    </row>
    <row r="18" spans="1:13" ht="125.45" customHeight="1">
      <c r="A18" s="5"/>
      <c r="B18" s="342" t="s">
        <v>326</v>
      </c>
      <c r="C18" s="343"/>
      <c r="D18" s="309"/>
      <c r="E18" s="310"/>
      <c r="F18" s="311"/>
      <c r="G18" s="312"/>
      <c r="H18" s="313"/>
      <c r="I18" s="313"/>
      <c r="J18" s="313"/>
      <c r="K18" s="314"/>
      <c r="L18" s="3"/>
      <c r="M18" s="5"/>
    </row>
    <row r="19" spans="1:13" ht="125.45" customHeight="1">
      <c r="A19" s="5"/>
      <c r="B19" s="342" t="s">
        <v>327</v>
      </c>
      <c r="C19" s="343"/>
      <c r="D19" s="59"/>
      <c r="E19" s="60"/>
      <c r="F19" s="61"/>
      <c r="G19" s="62"/>
      <c r="H19" s="63"/>
      <c r="I19" s="63"/>
      <c r="J19" s="63"/>
      <c r="K19" s="64"/>
      <c r="L19" s="3"/>
      <c r="M19" s="5"/>
    </row>
    <row r="20" spans="1:13" ht="125.45" customHeight="1">
      <c r="A20" s="5"/>
      <c r="B20" s="342" t="s">
        <v>328</v>
      </c>
      <c r="C20" s="343"/>
      <c r="D20" s="59"/>
      <c r="E20" s="60"/>
      <c r="F20" s="61"/>
      <c r="G20" s="62"/>
      <c r="H20" s="63"/>
      <c r="I20" s="63"/>
      <c r="J20" s="63"/>
      <c r="K20" s="64"/>
      <c r="L20" s="3"/>
      <c r="M20" s="5"/>
    </row>
    <row r="21" spans="1:13" ht="88.15" customHeight="1">
      <c r="A21" s="5"/>
      <c r="B21" s="327" t="s">
        <v>105</v>
      </c>
      <c r="C21" s="327"/>
      <c r="D21" s="318"/>
      <c r="E21" s="318"/>
      <c r="F21" s="318"/>
      <c r="G21" s="319"/>
      <c r="H21" s="319"/>
      <c r="I21" s="319"/>
      <c r="J21" s="319"/>
      <c r="K21" s="319"/>
      <c r="L21" s="3"/>
      <c r="M21" s="5"/>
    </row>
    <row r="22" spans="1:13" ht="120" customHeight="1">
      <c r="A22" s="5"/>
      <c r="B22" s="327" t="s">
        <v>329</v>
      </c>
      <c r="C22" s="327"/>
      <c r="D22" s="318"/>
      <c r="E22" s="318"/>
      <c r="F22" s="318"/>
      <c r="G22" s="319"/>
      <c r="H22" s="319"/>
      <c r="I22" s="319"/>
      <c r="J22" s="319"/>
      <c r="K22" s="319"/>
      <c r="L22" s="3"/>
      <c r="M22" s="5"/>
    </row>
    <row r="23" spans="1:13">
      <c r="A23" s="6"/>
      <c r="B23" s="6"/>
      <c r="C23" s="7"/>
      <c r="D23" s="7"/>
      <c r="E23" s="7"/>
      <c r="F23" s="8"/>
      <c r="G23" s="8"/>
      <c r="H23" s="8"/>
      <c r="I23" s="9"/>
      <c r="J23" s="9"/>
      <c r="K23" s="7"/>
      <c r="L23" s="7"/>
      <c r="M23" s="5"/>
    </row>
    <row r="24" spans="1:13" ht="16.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7"/>
      <c r="M24" s="5"/>
    </row>
    <row r="25" spans="1:13" ht="16.5">
      <c r="A25" s="10"/>
      <c r="B25" s="5"/>
      <c r="C25" s="5"/>
      <c r="D25" s="5"/>
      <c r="E25" s="11"/>
      <c r="F25" s="11"/>
      <c r="G25" s="12"/>
      <c r="H25" s="12"/>
      <c r="I25" s="5"/>
      <c r="J25" s="5"/>
      <c r="K25" s="5"/>
      <c r="L25" s="5"/>
      <c r="M25" s="5"/>
    </row>
    <row r="26" spans="1:13" ht="16.149999999999999" customHeight="1">
      <c r="A26" s="331" t="s">
        <v>572</v>
      </c>
      <c r="B26" s="332"/>
      <c r="C26" s="332"/>
      <c r="D26" s="332"/>
      <c r="E26" s="332"/>
      <c r="F26" s="332"/>
      <c r="G26" s="332"/>
      <c r="H26" s="332"/>
      <c r="I26" s="332"/>
      <c r="J26" s="332"/>
      <c r="K26" s="332"/>
      <c r="L26" s="333"/>
      <c r="M26" s="5"/>
    </row>
    <row r="27" spans="1:13">
      <c r="A27" s="334"/>
      <c r="B27" s="335"/>
      <c r="C27" s="335"/>
      <c r="D27" s="335"/>
      <c r="E27" s="335"/>
      <c r="F27" s="335"/>
      <c r="G27" s="335"/>
      <c r="H27" s="335"/>
      <c r="I27" s="335"/>
      <c r="J27" s="335"/>
      <c r="K27" s="335"/>
      <c r="L27" s="336"/>
      <c r="M27" s="5"/>
    </row>
    <row r="28" spans="1:1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</row>
    <row r="29" spans="1:13">
      <c r="A29" s="337" t="s">
        <v>106</v>
      </c>
      <c r="B29" s="337"/>
      <c r="C29" s="337"/>
      <c r="D29" s="337"/>
      <c r="E29" s="337"/>
      <c r="F29" s="337"/>
      <c r="G29" s="337"/>
      <c r="H29" s="337"/>
      <c r="I29" s="337"/>
      <c r="J29" s="337"/>
      <c r="K29" s="337"/>
      <c r="L29" s="337"/>
      <c r="M29" s="5"/>
    </row>
    <row r="30" spans="1:13">
      <c r="A30" s="17" t="s">
        <v>107</v>
      </c>
      <c r="B30" s="338" t="s">
        <v>108</v>
      </c>
      <c r="C30" s="339"/>
      <c r="D30" s="340" t="s">
        <v>109</v>
      </c>
      <c r="E30" s="341"/>
      <c r="F30" s="341"/>
      <c r="G30" s="341"/>
      <c r="H30" s="341"/>
      <c r="I30" s="341"/>
      <c r="J30" s="341"/>
      <c r="K30" s="341"/>
      <c r="L30" s="341"/>
      <c r="M30" s="5"/>
    </row>
    <row r="31" spans="1:13">
      <c r="A31" s="16" t="s">
        <v>107</v>
      </c>
      <c r="B31" s="329" t="s">
        <v>100</v>
      </c>
      <c r="C31" s="329"/>
      <c r="D31" s="330" t="s">
        <v>110</v>
      </c>
      <c r="E31" s="330"/>
      <c r="F31" s="330"/>
      <c r="G31" s="330"/>
      <c r="H31" s="330"/>
      <c r="I31" s="330"/>
      <c r="J31" s="330"/>
      <c r="K31" s="330"/>
      <c r="L31" s="330"/>
      <c r="M31" s="5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</sheetData>
  <mergeCells count="39">
    <mergeCell ref="G16:K16"/>
    <mergeCell ref="B16:C16"/>
    <mergeCell ref="D16:F16"/>
    <mergeCell ref="B21:C21"/>
    <mergeCell ref="D21:F21"/>
    <mergeCell ref="G21:K21"/>
    <mergeCell ref="B18:C18"/>
    <mergeCell ref="D18:F18"/>
    <mergeCell ref="G18:K18"/>
    <mergeCell ref="B19:C19"/>
    <mergeCell ref="B20:C20"/>
    <mergeCell ref="B31:C31"/>
    <mergeCell ref="D31:L31"/>
    <mergeCell ref="A26:L27"/>
    <mergeCell ref="A29:L29"/>
    <mergeCell ref="B30:C30"/>
    <mergeCell ref="D30:L30"/>
    <mergeCell ref="D5:I7"/>
    <mergeCell ref="B11:C11"/>
    <mergeCell ref="D11:F11"/>
    <mergeCell ref="G11:K11"/>
    <mergeCell ref="B22:C22"/>
    <mergeCell ref="D22:F22"/>
    <mergeCell ref="G22:K22"/>
    <mergeCell ref="B13:C13"/>
    <mergeCell ref="D13:F13"/>
    <mergeCell ref="G13:K13"/>
    <mergeCell ref="B15:C15"/>
    <mergeCell ref="D15:F15"/>
    <mergeCell ref="G15:K15"/>
    <mergeCell ref="D17:F17"/>
    <mergeCell ref="G17:K17"/>
    <mergeCell ref="B17:C17"/>
    <mergeCell ref="D14:F14"/>
    <mergeCell ref="G14:K14"/>
    <mergeCell ref="B14:C14"/>
    <mergeCell ref="B12:C12"/>
    <mergeCell ref="D12:F12"/>
    <mergeCell ref="G12:K12"/>
  </mergeCells>
  <pageMargins left="0.65833333333333333" right="0.59166666666666667" top="0.96666666666666667" bottom="1.0333333333333334" header="0.3" footer="0.3"/>
  <pageSetup paperSize="9" scale="77" fitToHeight="0" orientation="portrait" r:id="rId1"/>
  <headerFooter>
    <oddHeader>&amp;L&amp;G&amp;C&amp;"Montserrat,Bold"&amp;12&amp;K00B4E4Cover&amp;R&amp;"Montserrat,Bold"&amp;12&amp;K00B4E4Project Phase Review</oddHeader>
    <oddFooter>&amp;L&amp;"Montserrat,Regular"&amp;9&amp;K333333MOD-PPR.1&amp;KFF0000
&amp;KEA8651Document code &amp;C&amp;"Montserrat,Regular"&amp;10&amp;K333333***CONFIDENTIAL***&amp;R&amp;"Montserrat,Regular"&amp;10&amp;K333333Page &amp;P of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901FC-EAD4-4C84-B8F5-B4BDC2B99302}">
  <sheetPr>
    <pageSetUpPr fitToPage="1"/>
  </sheetPr>
  <dimension ref="A1:L86"/>
  <sheetViews>
    <sheetView showGridLines="0" view="pageLayout" topLeftCell="A42" zoomScale="87" zoomScaleNormal="100" zoomScalePageLayoutView="87" workbookViewId="0">
      <selection activeCell="D78" sqref="D78:J78"/>
    </sheetView>
  </sheetViews>
  <sheetFormatPr defaultColWidth="8.85546875" defaultRowHeight="15"/>
  <cols>
    <col min="1" max="1" width="18.7109375" style="1" customWidth="1"/>
    <col min="2" max="10" width="13.28515625" style="1" customWidth="1"/>
    <col min="11" max="16384" width="8.85546875" style="1"/>
  </cols>
  <sheetData>
    <row r="1" spans="1:10" ht="30" customHeight="1">
      <c r="A1" s="432" t="s">
        <v>343</v>
      </c>
      <c r="B1" s="433"/>
      <c r="C1" s="433"/>
      <c r="D1" s="433"/>
      <c r="E1" s="433"/>
      <c r="F1" s="433"/>
      <c r="G1" s="433"/>
      <c r="H1" s="433"/>
      <c r="I1" s="433"/>
      <c r="J1" s="434"/>
    </row>
    <row r="2" spans="1:10">
      <c r="A2" s="443" t="s">
        <v>112</v>
      </c>
      <c r="B2" s="444"/>
      <c r="C2" s="445"/>
      <c r="D2" s="435" t="s">
        <v>113</v>
      </c>
      <c r="E2" s="435"/>
      <c r="F2" s="435"/>
      <c r="G2" s="435"/>
      <c r="H2" s="435"/>
      <c r="I2" s="435"/>
      <c r="J2" s="436"/>
    </row>
    <row r="3" spans="1:10" s="24" customFormat="1" ht="25.9" customHeight="1">
      <c r="A3" s="174" t="s">
        <v>114</v>
      </c>
      <c r="B3" s="175"/>
      <c r="C3" s="175"/>
      <c r="D3" s="175"/>
      <c r="E3" s="175"/>
      <c r="F3" s="175"/>
      <c r="G3" s="175"/>
      <c r="H3" s="175"/>
      <c r="I3" s="175"/>
      <c r="J3" s="176"/>
    </row>
    <row r="4" spans="1:10" s="24" customFormat="1">
      <c r="A4" s="446" t="s">
        <v>115</v>
      </c>
      <c r="B4" s="447"/>
      <c r="C4" s="447"/>
      <c r="D4" s="447"/>
      <c r="E4" s="447"/>
      <c r="F4" s="442" t="s">
        <v>116</v>
      </c>
      <c r="G4" s="411"/>
      <c r="H4" s="411"/>
      <c r="I4" s="411"/>
      <c r="J4" s="412"/>
    </row>
    <row r="5" spans="1:10" s="24" customFormat="1">
      <c r="A5" s="448"/>
      <c r="B5" s="438"/>
      <c r="C5" s="438"/>
      <c r="D5" s="438"/>
      <c r="E5" s="438"/>
      <c r="F5" s="437"/>
      <c r="G5" s="438"/>
      <c r="H5" s="438"/>
      <c r="I5" s="438"/>
      <c r="J5" s="439"/>
    </row>
    <row r="6" spans="1:10" s="24" customFormat="1">
      <c r="A6" s="392"/>
      <c r="B6" s="371"/>
      <c r="C6" s="371"/>
      <c r="D6" s="371"/>
      <c r="E6" s="393"/>
      <c r="F6" s="440"/>
      <c r="G6" s="440"/>
      <c r="H6" s="440"/>
      <c r="I6" s="440"/>
      <c r="J6" s="441"/>
    </row>
    <row r="7" spans="1:10" s="24" customFormat="1">
      <c r="A7" s="392"/>
      <c r="B7" s="371"/>
      <c r="C7" s="371"/>
      <c r="D7" s="371"/>
      <c r="E7" s="393"/>
      <c r="F7" s="440"/>
      <c r="G7" s="440"/>
      <c r="H7" s="440"/>
      <c r="I7" s="440"/>
      <c r="J7" s="441"/>
    </row>
    <row r="8" spans="1:10" s="24" customFormat="1">
      <c r="A8" s="392"/>
      <c r="B8" s="371"/>
      <c r="C8" s="371"/>
      <c r="D8" s="371"/>
      <c r="E8" s="393"/>
      <c r="F8" s="440"/>
      <c r="G8" s="440"/>
      <c r="H8" s="440"/>
      <c r="I8" s="440"/>
      <c r="J8" s="441"/>
    </row>
    <row r="9" spans="1:10" s="24" customFormat="1">
      <c r="A9" s="392"/>
      <c r="B9" s="371"/>
      <c r="C9" s="371"/>
      <c r="D9" s="371"/>
      <c r="E9" s="393"/>
      <c r="F9" s="371"/>
      <c r="G9" s="371"/>
      <c r="H9" s="371"/>
      <c r="I9" s="371"/>
      <c r="J9" s="372"/>
    </row>
    <row r="10" spans="1:10" s="24" customFormat="1" ht="51.6" customHeight="1">
      <c r="A10" s="394" t="s">
        <v>179</v>
      </c>
      <c r="B10" s="395"/>
      <c r="C10" s="395"/>
      <c r="D10" s="395"/>
      <c r="E10" s="396"/>
      <c r="F10" s="373" t="s">
        <v>180</v>
      </c>
      <c r="G10" s="373"/>
      <c r="H10" s="373"/>
      <c r="I10" s="373"/>
      <c r="J10" s="374"/>
    </row>
    <row r="11" spans="1:10" s="24" customFormat="1" ht="18">
      <c r="A11" s="174" t="s">
        <v>120</v>
      </c>
      <c r="B11" s="175"/>
      <c r="C11" s="175"/>
      <c r="D11" s="175"/>
      <c r="E11" s="175"/>
      <c r="F11" s="175"/>
      <c r="G11" s="175"/>
      <c r="H11" s="175"/>
      <c r="I11" s="175"/>
      <c r="J11" s="176"/>
    </row>
    <row r="12" spans="1:10" s="24" customFormat="1" ht="16.899999999999999" customHeight="1">
      <c r="A12" s="390" t="s">
        <v>122</v>
      </c>
      <c r="B12" s="391"/>
      <c r="C12" s="391"/>
      <c r="D12" s="400"/>
      <c r="E12" s="400"/>
      <c r="F12" s="400"/>
      <c r="G12" s="400"/>
      <c r="H12" s="400"/>
      <c r="I12" s="400"/>
      <c r="J12" s="401"/>
    </row>
    <row r="13" spans="1:10" s="24" customFormat="1">
      <c r="A13" s="390" t="s">
        <v>123</v>
      </c>
      <c r="B13" s="391"/>
      <c r="C13" s="391"/>
      <c r="D13" s="400"/>
      <c r="E13" s="400"/>
      <c r="F13" s="400"/>
      <c r="G13" s="400"/>
      <c r="H13" s="400"/>
      <c r="I13" s="400"/>
      <c r="J13" s="401"/>
    </row>
    <row r="14" spans="1:10" s="24" customFormat="1">
      <c r="A14" s="390" t="s">
        <v>181</v>
      </c>
      <c r="B14" s="391"/>
      <c r="C14" s="391"/>
      <c r="D14" s="400"/>
      <c r="E14" s="400"/>
      <c r="F14" s="400"/>
      <c r="G14" s="400"/>
      <c r="H14" s="400"/>
      <c r="I14" s="400"/>
      <c r="J14" s="401"/>
    </row>
    <row r="15" spans="1:10" s="24" customFormat="1">
      <c r="A15" s="390" t="s">
        <v>125</v>
      </c>
      <c r="B15" s="391"/>
      <c r="C15" s="391"/>
      <c r="D15" s="400"/>
      <c r="E15" s="400"/>
      <c r="F15" s="400"/>
      <c r="G15" s="400"/>
      <c r="H15" s="400"/>
      <c r="I15" s="400"/>
      <c r="J15" s="401"/>
    </row>
    <row r="16" spans="1:10" s="24" customFormat="1" ht="18" customHeight="1">
      <c r="A16" s="397" t="s">
        <v>126</v>
      </c>
      <c r="B16" s="398"/>
      <c r="C16" s="398"/>
      <c r="D16" s="398"/>
      <c r="E16" s="398"/>
      <c r="F16" s="398"/>
      <c r="G16" s="398"/>
      <c r="H16" s="398"/>
      <c r="I16" s="398"/>
      <c r="J16" s="399"/>
    </row>
    <row r="17" spans="1:12" s="24" customFormat="1">
      <c r="A17" s="390" t="s">
        <v>4</v>
      </c>
      <c r="B17" s="391"/>
      <c r="C17" s="391"/>
      <c r="D17" s="366" t="s">
        <v>117</v>
      </c>
      <c r="E17" s="366"/>
      <c r="F17" s="366"/>
      <c r="G17" s="366"/>
      <c r="H17" s="366"/>
      <c r="I17" s="366"/>
      <c r="J17" s="367"/>
    </row>
    <row r="18" spans="1:12" s="24" customFormat="1">
      <c r="A18" s="390" t="s">
        <v>127</v>
      </c>
      <c r="B18" s="391"/>
      <c r="C18" s="391"/>
      <c r="D18" s="366" t="s">
        <v>117</v>
      </c>
      <c r="E18" s="366"/>
      <c r="F18" s="366"/>
      <c r="G18" s="366"/>
      <c r="H18" s="366"/>
      <c r="I18" s="366"/>
      <c r="J18" s="367"/>
    </row>
    <row r="19" spans="1:12" s="24" customFormat="1">
      <c r="A19" s="390" t="s">
        <v>128</v>
      </c>
      <c r="B19" s="391"/>
      <c r="C19" s="391"/>
      <c r="D19" s="366" t="s">
        <v>117</v>
      </c>
      <c r="E19" s="366"/>
      <c r="F19" s="366"/>
      <c r="G19" s="366"/>
      <c r="H19" s="366"/>
      <c r="I19" s="366"/>
      <c r="J19" s="367"/>
    </row>
    <row r="20" spans="1:12" s="24" customFormat="1">
      <c r="A20" s="390" t="s">
        <v>129</v>
      </c>
      <c r="B20" s="391"/>
      <c r="C20" s="391"/>
      <c r="D20" s="366" t="s">
        <v>117</v>
      </c>
      <c r="E20" s="366"/>
      <c r="F20" s="366"/>
      <c r="G20" s="366"/>
      <c r="H20" s="366"/>
      <c r="I20" s="366"/>
      <c r="J20" s="367"/>
    </row>
    <row r="21" spans="1:12" s="24" customFormat="1">
      <c r="A21" s="390" t="s">
        <v>503</v>
      </c>
      <c r="B21" s="391"/>
      <c r="C21" s="391"/>
      <c r="D21" s="366" t="s">
        <v>117</v>
      </c>
      <c r="E21" s="366"/>
      <c r="F21" s="366"/>
      <c r="G21" s="366"/>
      <c r="H21" s="366"/>
      <c r="I21" s="366"/>
      <c r="J21" s="367"/>
    </row>
    <row r="22" spans="1:12" s="24" customFormat="1">
      <c r="A22" s="390" t="s">
        <v>131</v>
      </c>
      <c r="B22" s="391"/>
      <c r="C22" s="391"/>
      <c r="D22" s="366" t="s">
        <v>117</v>
      </c>
      <c r="E22" s="366"/>
      <c r="F22" s="366"/>
      <c r="G22" s="366"/>
      <c r="H22" s="366"/>
      <c r="I22" s="366"/>
      <c r="J22" s="367"/>
    </row>
    <row r="23" spans="1:12" s="24" customFormat="1">
      <c r="A23" s="388" t="s">
        <v>504</v>
      </c>
      <c r="B23" s="389"/>
      <c r="C23" s="389"/>
      <c r="D23" s="366" t="s">
        <v>117</v>
      </c>
      <c r="E23" s="366"/>
      <c r="F23" s="366"/>
      <c r="G23" s="366"/>
      <c r="H23" s="366"/>
      <c r="I23" s="366"/>
      <c r="J23" s="367"/>
    </row>
    <row r="24" spans="1:12" s="24" customFormat="1" ht="17.45" customHeight="1">
      <c r="A24" s="368" t="s">
        <v>182</v>
      </c>
      <c r="B24" s="369"/>
      <c r="C24" s="369"/>
      <c r="D24" s="369"/>
      <c r="E24" s="369"/>
      <c r="F24" s="369"/>
      <c r="G24" s="369"/>
      <c r="H24" s="369"/>
      <c r="I24" s="369"/>
      <c r="J24" s="370"/>
    </row>
    <row r="25" spans="1:12" s="24" customFormat="1" ht="109.15" customHeight="1">
      <c r="A25" s="385" t="s">
        <v>508</v>
      </c>
      <c r="B25" s="386"/>
      <c r="C25" s="386"/>
      <c r="D25" s="386"/>
      <c r="E25" s="386"/>
      <c r="F25" s="386"/>
      <c r="G25" s="386"/>
      <c r="H25" s="386"/>
      <c r="I25" s="386"/>
      <c r="J25" s="387"/>
    </row>
    <row r="26" spans="1:12" s="24" customFormat="1" ht="18">
      <c r="A26" s="203" t="s">
        <v>183</v>
      </c>
      <c r="B26" s="204"/>
      <c r="C26" s="204"/>
      <c r="D26" s="204"/>
      <c r="E26" s="204"/>
      <c r="F26" s="204"/>
      <c r="G26" s="204"/>
      <c r="H26" s="204"/>
      <c r="I26" s="204"/>
      <c r="J26" s="240"/>
    </row>
    <row r="27" spans="1:12" s="24" customFormat="1" ht="37.9" customHeight="1">
      <c r="A27" s="407" t="s">
        <v>134</v>
      </c>
      <c r="B27" s="408"/>
      <c r="C27" s="408"/>
      <c r="D27" s="408"/>
      <c r="E27" s="408"/>
      <c r="F27" s="408"/>
      <c r="G27" s="408"/>
      <c r="H27" s="408"/>
      <c r="I27" s="408"/>
      <c r="J27" s="409"/>
    </row>
    <row r="28" spans="1:12" s="24" customFormat="1" ht="18">
      <c r="A28" s="203" t="s">
        <v>184</v>
      </c>
      <c r="B28" s="204"/>
      <c r="C28" s="204"/>
      <c r="D28" s="204"/>
      <c r="E28" s="204"/>
      <c r="F28" s="204"/>
      <c r="G28" s="204"/>
      <c r="H28" s="204"/>
      <c r="I28" s="204"/>
      <c r="J28" s="240"/>
    </row>
    <row r="29" spans="1:12" s="24" customFormat="1" ht="37.9" customHeight="1">
      <c r="A29" s="407" t="s">
        <v>318</v>
      </c>
      <c r="B29" s="408"/>
      <c r="C29" s="408"/>
      <c r="D29" s="408"/>
      <c r="E29" s="408"/>
      <c r="F29" s="408"/>
      <c r="G29" s="408"/>
      <c r="H29" s="408"/>
      <c r="I29" s="408"/>
      <c r="J29" s="409"/>
      <c r="K29" s="93"/>
      <c r="L29" s="93"/>
    </row>
    <row r="30" spans="1:12" s="24" customFormat="1" ht="18">
      <c r="A30" s="203" t="s">
        <v>159</v>
      </c>
      <c r="B30" s="204"/>
      <c r="C30" s="204"/>
      <c r="D30" s="204"/>
      <c r="E30" s="204"/>
      <c r="F30" s="204"/>
      <c r="G30" s="204"/>
      <c r="H30" s="204"/>
      <c r="I30" s="204"/>
      <c r="J30" s="240"/>
    </row>
    <row r="31" spans="1:12" s="24" customFormat="1" ht="37.9" customHeight="1">
      <c r="A31" s="407" t="s">
        <v>185</v>
      </c>
      <c r="B31" s="408"/>
      <c r="C31" s="408"/>
      <c r="D31" s="408"/>
      <c r="E31" s="408"/>
      <c r="F31" s="408"/>
      <c r="G31" s="408"/>
      <c r="H31" s="408"/>
      <c r="I31" s="408"/>
      <c r="J31" s="409"/>
      <c r="K31" s="93"/>
      <c r="L31" s="93"/>
    </row>
    <row r="32" spans="1:12" s="24" customFormat="1" ht="18">
      <c r="A32" s="203" t="s">
        <v>160</v>
      </c>
      <c r="B32" s="204"/>
      <c r="C32" s="204"/>
      <c r="D32" s="204"/>
      <c r="E32" s="204"/>
      <c r="F32" s="204"/>
      <c r="G32" s="204"/>
      <c r="H32" s="204"/>
      <c r="I32" s="204"/>
      <c r="J32" s="240"/>
    </row>
    <row r="33" spans="1:12" s="24" customFormat="1" ht="37.9" customHeight="1">
      <c r="A33" s="407" t="s">
        <v>186</v>
      </c>
      <c r="B33" s="408"/>
      <c r="C33" s="408"/>
      <c r="D33" s="408"/>
      <c r="E33" s="408"/>
      <c r="F33" s="408"/>
      <c r="G33" s="408"/>
      <c r="H33" s="408"/>
      <c r="I33" s="408"/>
      <c r="J33" s="409"/>
      <c r="K33" s="93"/>
      <c r="L33" s="93"/>
    </row>
    <row r="34" spans="1:12" s="24" customFormat="1" ht="64.150000000000006" customHeight="1">
      <c r="A34" s="203" t="s">
        <v>187</v>
      </c>
      <c r="B34" s="204"/>
      <c r="C34" s="204"/>
      <c r="D34" s="204"/>
      <c r="E34" s="204"/>
      <c r="F34" s="204"/>
      <c r="G34" s="204"/>
      <c r="H34" s="204"/>
      <c r="I34" s="204"/>
      <c r="J34" s="240"/>
    </row>
    <row r="35" spans="1:12" s="24" customFormat="1" ht="30">
      <c r="A35" s="98" t="s">
        <v>140</v>
      </c>
      <c r="B35" s="99" t="s">
        <v>141</v>
      </c>
      <c r="C35" s="423" t="s">
        <v>142</v>
      </c>
      <c r="D35" s="424"/>
      <c r="E35" s="424"/>
      <c r="F35" s="425"/>
      <c r="G35" s="99" t="s">
        <v>143</v>
      </c>
      <c r="H35" s="410" t="s">
        <v>144</v>
      </c>
      <c r="I35" s="411"/>
      <c r="J35" s="412"/>
    </row>
    <row r="36" spans="1:12" ht="18" customHeight="1">
      <c r="A36" s="100"/>
      <c r="B36" s="101"/>
      <c r="C36" s="420" t="s">
        <v>145</v>
      </c>
      <c r="D36" s="421"/>
      <c r="E36" s="421"/>
      <c r="F36" s="422"/>
      <c r="G36" s="102"/>
      <c r="H36" s="413"/>
      <c r="I36" s="414"/>
      <c r="J36" s="415"/>
    </row>
    <row r="37" spans="1:12">
      <c r="A37" s="149"/>
      <c r="B37" s="149"/>
      <c r="C37" s="419"/>
      <c r="D37" s="419"/>
      <c r="E37" s="419"/>
      <c r="F37" s="419"/>
      <c r="G37" s="150"/>
      <c r="H37" s="416"/>
      <c r="I37" s="417"/>
      <c r="J37" s="418"/>
    </row>
    <row r="38" spans="1:12" s="24" customFormat="1" ht="45" customHeight="1">
      <c r="A38" s="397" t="s">
        <v>135</v>
      </c>
      <c r="B38" s="398"/>
      <c r="C38" s="398"/>
      <c r="D38" s="398"/>
      <c r="E38" s="398"/>
      <c r="F38" s="398"/>
      <c r="G38" s="398"/>
      <c r="H38" s="398"/>
      <c r="I38" s="398"/>
      <c r="J38" s="399"/>
      <c r="K38" s="94"/>
      <c r="L38" s="94"/>
    </row>
    <row r="39" spans="1:12" s="24" customFormat="1" ht="25.15" customHeight="1">
      <c r="A39" s="404" t="s">
        <v>100</v>
      </c>
      <c r="B39" s="405"/>
      <c r="C39" s="405"/>
      <c r="D39" s="405"/>
      <c r="E39" s="406"/>
      <c r="F39" s="213" t="s">
        <v>136</v>
      </c>
      <c r="G39" s="213"/>
      <c r="H39" s="212" t="s">
        <v>188</v>
      </c>
      <c r="I39" s="213"/>
      <c r="J39" s="402"/>
    </row>
    <row r="40" spans="1:12" s="24" customFormat="1" ht="48" customHeight="1">
      <c r="A40" s="205" t="s">
        <v>189</v>
      </c>
      <c r="B40" s="206"/>
      <c r="C40" s="206"/>
      <c r="D40" s="206"/>
      <c r="E40" s="206"/>
      <c r="F40" s="158" t="s">
        <v>138</v>
      </c>
      <c r="G40" s="158"/>
      <c r="H40" s="366" t="s">
        <v>190</v>
      </c>
      <c r="I40" s="366"/>
      <c r="J40" s="367"/>
    </row>
    <row r="41" spans="1:12" s="24" customFormat="1" ht="61.15" customHeight="1">
      <c r="A41" s="383" t="s">
        <v>191</v>
      </c>
      <c r="B41" s="384"/>
      <c r="C41" s="384"/>
      <c r="D41" s="384"/>
      <c r="E41" s="384"/>
      <c r="F41" s="158" t="s">
        <v>192</v>
      </c>
      <c r="G41" s="158"/>
      <c r="H41" s="158" t="s">
        <v>190</v>
      </c>
      <c r="I41" s="158"/>
      <c r="J41" s="344"/>
    </row>
    <row r="42" spans="1:12" s="24" customFormat="1" ht="51" customHeight="1">
      <c r="A42" s="383" t="s">
        <v>193</v>
      </c>
      <c r="B42" s="384"/>
      <c r="C42" s="384"/>
      <c r="D42" s="384"/>
      <c r="E42" s="384"/>
      <c r="F42" s="158" t="s">
        <v>194</v>
      </c>
      <c r="G42" s="158"/>
      <c r="H42" s="158" t="s">
        <v>190</v>
      </c>
      <c r="I42" s="158"/>
      <c r="J42" s="344"/>
    </row>
    <row r="43" spans="1:12" s="24" customFormat="1" ht="51" customHeight="1">
      <c r="A43" s="205" t="s">
        <v>505</v>
      </c>
      <c r="B43" s="206"/>
      <c r="C43" s="206"/>
      <c r="D43" s="206"/>
      <c r="E43" s="206"/>
      <c r="F43" s="158" t="s">
        <v>195</v>
      </c>
      <c r="G43" s="158"/>
      <c r="H43" s="207" t="s">
        <v>190</v>
      </c>
      <c r="I43" s="207"/>
      <c r="J43" s="403"/>
    </row>
    <row r="44" spans="1:12" s="24" customFormat="1" ht="73.150000000000006" customHeight="1">
      <c r="A44" s="205" t="s">
        <v>196</v>
      </c>
      <c r="B44" s="206"/>
      <c r="C44" s="206"/>
      <c r="D44" s="206"/>
      <c r="E44" s="206"/>
      <c r="F44" s="158" t="s">
        <v>24</v>
      </c>
      <c r="G44" s="158"/>
      <c r="H44" s="207" t="s">
        <v>377</v>
      </c>
      <c r="I44" s="207"/>
      <c r="J44" s="403"/>
    </row>
    <row r="45" spans="1:12" s="24" customFormat="1" ht="51" customHeight="1">
      <c r="A45" s="205" t="s">
        <v>197</v>
      </c>
      <c r="B45" s="206"/>
      <c r="C45" s="206"/>
      <c r="D45" s="206"/>
      <c r="E45" s="206"/>
      <c r="F45" s="158" t="s">
        <v>198</v>
      </c>
      <c r="G45" s="158"/>
      <c r="H45" s="207" t="s">
        <v>190</v>
      </c>
      <c r="I45" s="207"/>
      <c r="J45" s="403"/>
    </row>
    <row r="46" spans="1:12" s="24" customFormat="1" ht="51" customHeight="1">
      <c r="A46" s="205" t="s">
        <v>199</v>
      </c>
      <c r="B46" s="206"/>
      <c r="C46" s="206"/>
      <c r="D46" s="206"/>
      <c r="E46" s="206"/>
      <c r="F46" s="158" t="s">
        <v>200</v>
      </c>
      <c r="G46" s="158"/>
      <c r="H46" s="366" t="s">
        <v>190</v>
      </c>
      <c r="I46" s="366"/>
      <c r="J46" s="367"/>
    </row>
    <row r="47" spans="1:12" s="24" customFormat="1" ht="51" customHeight="1">
      <c r="A47" s="205" t="s">
        <v>201</v>
      </c>
      <c r="B47" s="206"/>
      <c r="C47" s="206"/>
      <c r="D47" s="206"/>
      <c r="E47" s="206"/>
      <c r="F47" s="158" t="s">
        <v>202</v>
      </c>
      <c r="G47" s="158"/>
      <c r="H47" s="426" t="s">
        <v>190</v>
      </c>
      <c r="I47" s="426"/>
      <c r="J47" s="427"/>
    </row>
    <row r="48" spans="1:12" s="24" customFormat="1" ht="51" customHeight="1">
      <c r="A48" s="205" t="s">
        <v>203</v>
      </c>
      <c r="B48" s="206"/>
      <c r="C48" s="206"/>
      <c r="D48" s="206"/>
      <c r="E48" s="206"/>
      <c r="F48" s="158" t="s">
        <v>204</v>
      </c>
      <c r="G48" s="158"/>
      <c r="H48" s="426" t="s">
        <v>190</v>
      </c>
      <c r="I48" s="426"/>
      <c r="J48" s="427"/>
    </row>
    <row r="49" spans="1:10" s="24" customFormat="1" ht="51" customHeight="1">
      <c r="A49" s="205" t="s">
        <v>205</v>
      </c>
      <c r="B49" s="206"/>
      <c r="C49" s="206"/>
      <c r="D49" s="206"/>
      <c r="E49" s="206"/>
      <c r="F49" s="158" t="s">
        <v>206</v>
      </c>
      <c r="G49" s="158"/>
      <c r="H49" s="426" t="s">
        <v>190</v>
      </c>
      <c r="I49" s="426"/>
      <c r="J49" s="427"/>
    </row>
    <row r="50" spans="1:10" s="24" customFormat="1" ht="51" customHeight="1">
      <c r="A50" s="205" t="s">
        <v>207</v>
      </c>
      <c r="B50" s="206"/>
      <c r="C50" s="206"/>
      <c r="D50" s="206"/>
      <c r="E50" s="206"/>
      <c r="F50" s="158" t="s">
        <v>208</v>
      </c>
      <c r="G50" s="158"/>
      <c r="H50" s="426" t="s">
        <v>190</v>
      </c>
      <c r="I50" s="426"/>
      <c r="J50" s="427"/>
    </row>
    <row r="51" spans="1:10" s="24" customFormat="1" ht="51" customHeight="1">
      <c r="A51" s="205" t="s">
        <v>209</v>
      </c>
      <c r="B51" s="206"/>
      <c r="C51" s="206"/>
      <c r="D51" s="206"/>
      <c r="E51" s="206"/>
      <c r="F51" s="158" t="s">
        <v>210</v>
      </c>
      <c r="G51" s="158"/>
      <c r="H51" s="426" t="s">
        <v>190</v>
      </c>
      <c r="I51" s="426"/>
      <c r="J51" s="427"/>
    </row>
    <row r="52" spans="1:10" s="24" customFormat="1" ht="51" customHeight="1">
      <c r="A52" s="205" t="s">
        <v>211</v>
      </c>
      <c r="B52" s="206"/>
      <c r="C52" s="206"/>
      <c r="D52" s="206"/>
      <c r="E52" s="206"/>
      <c r="F52" s="158" t="s">
        <v>212</v>
      </c>
      <c r="G52" s="158"/>
      <c r="H52" s="426" t="s">
        <v>190</v>
      </c>
      <c r="I52" s="426"/>
      <c r="J52" s="427"/>
    </row>
    <row r="53" spans="1:10" s="24" customFormat="1" ht="51" customHeight="1">
      <c r="A53" s="476" t="s">
        <v>213</v>
      </c>
      <c r="B53" s="477"/>
      <c r="C53" s="477"/>
      <c r="D53" s="477"/>
      <c r="E53" s="477"/>
      <c r="F53" s="158" t="s">
        <v>214</v>
      </c>
      <c r="G53" s="158"/>
      <c r="H53" s="426" t="s">
        <v>190</v>
      </c>
      <c r="I53" s="426"/>
      <c r="J53" s="427"/>
    </row>
    <row r="54" spans="1:10" s="24" customFormat="1" ht="51" customHeight="1">
      <c r="A54" s="205" t="s">
        <v>215</v>
      </c>
      <c r="B54" s="206"/>
      <c r="C54" s="206"/>
      <c r="D54" s="206"/>
      <c r="E54" s="206"/>
      <c r="F54" s="158" t="s">
        <v>216</v>
      </c>
      <c r="G54" s="158"/>
      <c r="H54" s="426" t="s">
        <v>190</v>
      </c>
      <c r="I54" s="426"/>
      <c r="J54" s="427"/>
    </row>
    <row r="55" spans="1:10" s="24" customFormat="1" ht="51" customHeight="1">
      <c r="A55" s="205" t="s">
        <v>217</v>
      </c>
      <c r="B55" s="206"/>
      <c r="C55" s="206"/>
      <c r="D55" s="206"/>
      <c r="E55" s="206"/>
      <c r="F55" s="158" t="s">
        <v>218</v>
      </c>
      <c r="G55" s="158"/>
      <c r="H55" s="426" t="s">
        <v>190</v>
      </c>
      <c r="I55" s="426"/>
      <c r="J55" s="427"/>
    </row>
    <row r="56" spans="1:10" s="24" customFormat="1" ht="48" customHeight="1">
      <c r="A56" s="156" t="s">
        <v>570</v>
      </c>
      <c r="B56" s="157"/>
      <c r="C56" s="157"/>
      <c r="D56" s="157"/>
      <c r="E56" s="157"/>
      <c r="F56" s="158" t="s">
        <v>24</v>
      </c>
      <c r="G56" s="158"/>
      <c r="H56" s="158" t="s">
        <v>190</v>
      </c>
      <c r="I56" s="158"/>
      <c r="J56" s="344"/>
    </row>
    <row r="57" spans="1:10" ht="18.600000000000001" customHeight="1">
      <c r="A57" s="226" t="s">
        <v>219</v>
      </c>
      <c r="B57" s="227"/>
      <c r="C57" s="227"/>
      <c r="D57" s="227"/>
      <c r="E57" s="227"/>
      <c r="F57" s="227"/>
      <c r="G57" s="227"/>
      <c r="H57" s="227"/>
      <c r="I57" s="227"/>
      <c r="J57" s="228"/>
    </row>
    <row r="58" spans="1:10" ht="21" customHeight="1">
      <c r="A58" s="452" t="s">
        <v>506</v>
      </c>
      <c r="B58" s="453"/>
      <c r="C58" s="453"/>
      <c r="D58" s="453"/>
      <c r="E58" s="454"/>
      <c r="F58" s="464" t="s">
        <v>507</v>
      </c>
      <c r="G58" s="464"/>
      <c r="H58" s="464"/>
      <c r="I58" s="464"/>
      <c r="J58" s="465"/>
    </row>
    <row r="59" spans="1:10" ht="21" customHeight="1">
      <c r="A59" s="452" t="s">
        <v>220</v>
      </c>
      <c r="B59" s="453"/>
      <c r="C59" s="453"/>
      <c r="D59" s="453"/>
      <c r="E59" s="454"/>
      <c r="F59" s="464" t="s">
        <v>113</v>
      </c>
      <c r="G59" s="464"/>
      <c r="H59" s="464"/>
      <c r="I59" s="464"/>
      <c r="J59" s="465"/>
    </row>
    <row r="60" spans="1:10" ht="21" customHeight="1">
      <c r="A60" s="455" t="s">
        <v>221</v>
      </c>
      <c r="B60" s="456"/>
      <c r="C60" s="456"/>
      <c r="D60" s="456"/>
      <c r="E60" s="457"/>
      <c r="F60" s="466" t="s">
        <v>113</v>
      </c>
      <c r="G60" s="466"/>
      <c r="H60" s="466"/>
      <c r="I60" s="466"/>
      <c r="J60" s="467"/>
    </row>
    <row r="61" spans="1:10" ht="21" customHeight="1">
      <c r="A61" s="458" t="s">
        <v>222</v>
      </c>
      <c r="B61" s="459"/>
      <c r="C61" s="459"/>
      <c r="D61" s="459"/>
      <c r="E61" s="460"/>
      <c r="F61" s="468" t="s">
        <v>113</v>
      </c>
      <c r="G61" s="468"/>
      <c r="H61" s="468"/>
      <c r="I61" s="468"/>
      <c r="J61" s="469"/>
    </row>
    <row r="62" spans="1:10" ht="18" customHeight="1">
      <c r="A62" s="379" t="s">
        <v>223</v>
      </c>
      <c r="B62" s="380"/>
      <c r="C62" s="380"/>
      <c r="D62" s="380"/>
      <c r="E62" s="380"/>
      <c r="F62" s="381"/>
      <c r="G62" s="381"/>
      <c r="H62" s="381"/>
      <c r="I62" s="381"/>
      <c r="J62" s="382"/>
    </row>
    <row r="63" spans="1:10" ht="18" customHeight="1">
      <c r="A63" s="452" t="s">
        <v>224</v>
      </c>
      <c r="B63" s="453"/>
      <c r="C63" s="453"/>
      <c r="D63" s="453"/>
      <c r="E63" s="454"/>
      <c r="F63" s="474" t="s">
        <v>225</v>
      </c>
      <c r="G63" s="474"/>
      <c r="H63" s="474"/>
      <c r="I63" s="474"/>
      <c r="J63" s="475"/>
    </row>
    <row r="64" spans="1:10" ht="27.6" customHeight="1">
      <c r="A64" s="461" t="s">
        <v>226</v>
      </c>
      <c r="B64" s="462"/>
      <c r="C64" s="462"/>
      <c r="D64" s="462"/>
      <c r="E64" s="463"/>
      <c r="F64" s="470" t="s">
        <v>227</v>
      </c>
      <c r="G64" s="470"/>
      <c r="H64" s="470"/>
      <c r="I64" s="470"/>
      <c r="J64" s="471"/>
    </row>
    <row r="65" spans="1:10" ht="27.6" customHeight="1">
      <c r="A65" s="458" t="s">
        <v>168</v>
      </c>
      <c r="B65" s="459"/>
      <c r="C65" s="459"/>
      <c r="D65" s="459"/>
      <c r="E65" s="460"/>
      <c r="F65" s="472" t="s">
        <v>228</v>
      </c>
      <c r="G65" s="472"/>
      <c r="H65" s="472"/>
      <c r="I65" s="472"/>
      <c r="J65" s="473"/>
    </row>
    <row r="66" spans="1:10" ht="18">
      <c r="A66" s="379" t="s">
        <v>229</v>
      </c>
      <c r="B66" s="380"/>
      <c r="C66" s="380"/>
      <c r="D66" s="380"/>
      <c r="E66" s="380"/>
      <c r="F66" s="381"/>
      <c r="G66" s="381"/>
      <c r="H66" s="381"/>
      <c r="I66" s="381"/>
      <c r="J66" s="382"/>
    </row>
    <row r="67" spans="1:10" s="103" customFormat="1" ht="30.6" customHeight="1">
      <c r="A67" s="478" t="s">
        <v>230</v>
      </c>
      <c r="B67" s="479"/>
      <c r="C67" s="479"/>
      <c r="D67" s="479"/>
      <c r="E67" s="480"/>
      <c r="F67" s="428" t="s">
        <v>174</v>
      </c>
      <c r="G67" s="428"/>
      <c r="H67" s="428"/>
      <c r="I67" s="428"/>
      <c r="J67" s="429"/>
    </row>
    <row r="68" spans="1:10" s="103" customFormat="1" ht="30.6" customHeight="1">
      <c r="A68" s="449" t="s">
        <v>231</v>
      </c>
      <c r="B68" s="450"/>
      <c r="C68" s="450"/>
      <c r="D68" s="450"/>
      <c r="E68" s="451"/>
      <c r="F68" s="430" t="s">
        <v>174</v>
      </c>
      <c r="G68" s="430"/>
      <c r="H68" s="430"/>
      <c r="I68" s="430"/>
      <c r="J68" s="431"/>
    </row>
    <row r="69" spans="1:10" s="24" customFormat="1" ht="55.9" customHeight="1">
      <c r="A69" s="345" t="s">
        <v>344</v>
      </c>
      <c r="B69" s="346"/>
      <c r="C69" s="346"/>
      <c r="D69" s="346"/>
      <c r="E69" s="346"/>
      <c r="F69" s="346"/>
      <c r="G69" s="346"/>
      <c r="H69" s="346"/>
      <c r="I69" s="346"/>
      <c r="J69" s="347"/>
    </row>
    <row r="70" spans="1:10" s="24" customFormat="1" ht="18">
      <c r="A70" s="226" t="s">
        <v>146</v>
      </c>
      <c r="B70" s="227"/>
      <c r="C70" s="227"/>
      <c r="D70" s="227"/>
      <c r="E70" s="227"/>
      <c r="F70" s="227"/>
      <c r="G70" s="227"/>
      <c r="H70" s="227"/>
      <c r="I70" s="227"/>
      <c r="J70" s="228"/>
    </row>
    <row r="71" spans="1:10" s="24" customFormat="1" ht="18.600000000000001" customHeight="1">
      <c r="A71" s="375" t="s">
        <v>147</v>
      </c>
      <c r="B71" s="376"/>
      <c r="C71" s="376"/>
      <c r="D71" s="366" t="s">
        <v>378</v>
      </c>
      <c r="E71" s="366"/>
      <c r="F71" s="366"/>
      <c r="G71" s="366"/>
      <c r="H71" s="366"/>
      <c r="I71" s="366"/>
      <c r="J71" s="367"/>
    </row>
    <row r="72" spans="1:10" s="24" customFormat="1" ht="18.600000000000001" customHeight="1">
      <c r="A72" s="364" t="s">
        <v>148</v>
      </c>
      <c r="B72" s="365"/>
      <c r="C72" s="365"/>
      <c r="D72" s="366" t="s">
        <v>378</v>
      </c>
      <c r="E72" s="366"/>
      <c r="F72" s="366"/>
      <c r="G72" s="366"/>
      <c r="H72" s="366"/>
      <c r="I72" s="366"/>
      <c r="J72" s="367"/>
    </row>
    <row r="73" spans="1:10" s="24" customFormat="1" ht="18.600000000000001" customHeight="1">
      <c r="A73" s="364" t="s">
        <v>149</v>
      </c>
      <c r="B73" s="365"/>
      <c r="C73" s="365"/>
      <c r="D73" s="366" t="s">
        <v>378</v>
      </c>
      <c r="E73" s="366"/>
      <c r="F73" s="366"/>
      <c r="G73" s="366"/>
      <c r="H73" s="366"/>
      <c r="I73" s="366"/>
      <c r="J73" s="367"/>
    </row>
    <row r="74" spans="1:10" s="24" customFormat="1" ht="18.600000000000001" customHeight="1">
      <c r="A74" s="364" t="s">
        <v>150</v>
      </c>
      <c r="B74" s="365"/>
      <c r="C74" s="365"/>
      <c r="D74" s="366" t="s">
        <v>378</v>
      </c>
      <c r="E74" s="366"/>
      <c r="F74" s="366"/>
      <c r="G74" s="366"/>
      <c r="H74" s="366"/>
      <c r="I74" s="366"/>
      <c r="J74" s="367"/>
    </row>
    <row r="75" spans="1:10" s="24" customFormat="1" ht="18.600000000000001" customHeight="1">
      <c r="A75" s="364" t="s">
        <v>151</v>
      </c>
      <c r="B75" s="365"/>
      <c r="C75" s="365"/>
      <c r="D75" s="366" t="s">
        <v>378</v>
      </c>
      <c r="E75" s="366"/>
      <c r="F75" s="366"/>
      <c r="G75" s="366"/>
      <c r="H75" s="366"/>
      <c r="I75" s="366"/>
      <c r="J75" s="367"/>
    </row>
    <row r="76" spans="1:10" s="24" customFormat="1" ht="18.600000000000001" customHeight="1">
      <c r="A76" s="364" t="s">
        <v>152</v>
      </c>
      <c r="B76" s="365"/>
      <c r="C76" s="365"/>
      <c r="D76" s="366" t="s">
        <v>378</v>
      </c>
      <c r="E76" s="366"/>
      <c r="F76" s="366"/>
      <c r="G76" s="366"/>
      <c r="H76" s="366"/>
      <c r="I76" s="366"/>
      <c r="J76" s="367"/>
    </row>
    <row r="77" spans="1:10" s="24" customFormat="1" ht="18.600000000000001" customHeight="1">
      <c r="A77" s="364" t="s">
        <v>379</v>
      </c>
      <c r="B77" s="365"/>
      <c r="C77" s="365"/>
      <c r="D77" s="366" t="s">
        <v>378</v>
      </c>
      <c r="E77" s="366"/>
      <c r="F77" s="366"/>
      <c r="G77" s="366"/>
      <c r="H77" s="366"/>
      <c r="I77" s="366"/>
      <c r="J77" s="367"/>
    </row>
    <row r="78" spans="1:10" s="24" customFormat="1" ht="18.600000000000001" customHeight="1">
      <c r="A78" s="364" t="s">
        <v>154</v>
      </c>
      <c r="B78" s="365"/>
      <c r="C78" s="365"/>
      <c r="D78" s="366" t="s">
        <v>378</v>
      </c>
      <c r="E78" s="366"/>
      <c r="F78" s="366"/>
      <c r="G78" s="366"/>
      <c r="H78" s="366"/>
      <c r="I78" s="366"/>
      <c r="J78" s="367"/>
    </row>
    <row r="79" spans="1:10" s="24" customFormat="1" ht="18.600000000000001" customHeight="1">
      <c r="A79" s="377" t="s">
        <v>155</v>
      </c>
      <c r="B79" s="378"/>
      <c r="C79" s="378"/>
      <c r="D79" s="366" t="s">
        <v>378</v>
      </c>
      <c r="E79" s="366"/>
      <c r="F79" s="366"/>
      <c r="G79" s="366"/>
      <c r="H79" s="366"/>
      <c r="I79" s="366"/>
      <c r="J79" s="367"/>
    </row>
    <row r="80" spans="1:10" s="24" customFormat="1" ht="18.600000000000001" customHeight="1">
      <c r="A80" s="364" t="s">
        <v>156</v>
      </c>
      <c r="B80" s="365"/>
      <c r="C80" s="365"/>
      <c r="D80" s="366" t="s">
        <v>378</v>
      </c>
      <c r="E80" s="366"/>
      <c r="F80" s="366"/>
      <c r="G80" s="366"/>
      <c r="H80" s="366"/>
      <c r="I80" s="366"/>
      <c r="J80" s="367"/>
    </row>
    <row r="81" spans="1:10" s="24" customFormat="1" ht="21" customHeight="1">
      <c r="A81" s="226" t="s">
        <v>171</v>
      </c>
      <c r="B81" s="227"/>
      <c r="C81" s="227"/>
      <c r="D81" s="227"/>
      <c r="E81" s="227"/>
      <c r="F81" s="227"/>
      <c r="G81" s="227"/>
      <c r="H81" s="227"/>
      <c r="I81" s="227"/>
      <c r="J81" s="228"/>
    </row>
    <row r="82" spans="1:10" s="24" customFormat="1" ht="85.9" customHeight="1">
      <c r="A82" s="357" t="s">
        <v>232</v>
      </c>
      <c r="B82" s="358"/>
      <c r="C82" s="358"/>
      <c r="D82" s="358"/>
      <c r="E82" s="358"/>
      <c r="F82" s="358"/>
      <c r="G82" s="358"/>
      <c r="H82" s="358"/>
      <c r="I82" s="358"/>
      <c r="J82" s="359"/>
    </row>
    <row r="83" spans="1:10" s="24" customFormat="1" ht="24" customHeight="1">
      <c r="A83" s="351" t="s">
        <v>173</v>
      </c>
      <c r="B83" s="352"/>
      <c r="C83" s="353"/>
      <c r="D83" s="360" t="s">
        <v>174</v>
      </c>
      <c r="E83" s="360"/>
      <c r="F83" s="360"/>
      <c r="G83" s="360"/>
      <c r="H83" s="360"/>
      <c r="I83" s="360"/>
      <c r="J83" s="361"/>
    </row>
    <row r="84" spans="1:10" s="24" customFormat="1" ht="24" customHeight="1">
      <c r="A84" s="351" t="s">
        <v>519</v>
      </c>
      <c r="B84" s="352"/>
      <c r="C84" s="353"/>
      <c r="D84" s="360" t="s">
        <v>174</v>
      </c>
      <c r="E84" s="360"/>
      <c r="F84" s="360"/>
      <c r="G84" s="360"/>
      <c r="H84" s="360"/>
      <c r="I84" s="360"/>
      <c r="J84" s="361"/>
    </row>
    <row r="85" spans="1:10" ht="24" customHeight="1">
      <c r="A85" s="354" t="s">
        <v>175</v>
      </c>
      <c r="B85" s="355"/>
      <c r="C85" s="356"/>
      <c r="D85" s="154" t="s">
        <v>176</v>
      </c>
      <c r="E85" s="154"/>
      <c r="F85" s="154"/>
      <c r="G85" s="154"/>
      <c r="H85" s="154"/>
      <c r="I85" s="154"/>
      <c r="J85" s="155"/>
    </row>
    <row r="86" spans="1:10" ht="42" customHeight="1">
      <c r="A86" s="348" t="s">
        <v>233</v>
      </c>
      <c r="B86" s="349"/>
      <c r="C86" s="350"/>
      <c r="D86" s="362" t="s">
        <v>234</v>
      </c>
      <c r="E86" s="362"/>
      <c r="F86" s="362"/>
      <c r="G86" s="362"/>
      <c r="H86" s="362"/>
      <c r="I86" s="362"/>
      <c r="J86" s="363"/>
    </row>
  </sheetData>
  <mergeCells count="167">
    <mergeCell ref="A58:E58"/>
    <mergeCell ref="F58:J58"/>
    <mergeCell ref="A84:C84"/>
    <mergeCell ref="D84:J84"/>
    <mergeCell ref="A47:E47"/>
    <mergeCell ref="F47:G47"/>
    <mergeCell ref="H47:J47"/>
    <mergeCell ref="A54:E54"/>
    <mergeCell ref="A51:E51"/>
    <mergeCell ref="F51:G51"/>
    <mergeCell ref="H51:J51"/>
    <mergeCell ref="A53:E53"/>
    <mergeCell ref="F53:G53"/>
    <mergeCell ref="H53:J53"/>
    <mergeCell ref="A52:E52"/>
    <mergeCell ref="A50:E50"/>
    <mergeCell ref="F50:G50"/>
    <mergeCell ref="H50:J50"/>
    <mergeCell ref="F54:G54"/>
    <mergeCell ref="H54:J54"/>
    <mergeCell ref="A55:E55"/>
    <mergeCell ref="F55:G55"/>
    <mergeCell ref="H55:J55"/>
    <mergeCell ref="A67:E67"/>
    <mergeCell ref="A61:E61"/>
    <mergeCell ref="A64:E64"/>
    <mergeCell ref="A65:E65"/>
    <mergeCell ref="F59:J59"/>
    <mergeCell ref="F60:J60"/>
    <mergeCell ref="F61:J61"/>
    <mergeCell ref="F64:J64"/>
    <mergeCell ref="F65:J65"/>
    <mergeCell ref="A63:E63"/>
    <mergeCell ref="F63:J63"/>
    <mergeCell ref="A3:J3"/>
    <mergeCell ref="A1:J1"/>
    <mergeCell ref="D2:J2"/>
    <mergeCell ref="F5:J5"/>
    <mergeCell ref="F6:J6"/>
    <mergeCell ref="F7:J7"/>
    <mergeCell ref="A7:E7"/>
    <mergeCell ref="A8:E8"/>
    <mergeCell ref="F8:J8"/>
    <mergeCell ref="F4:J4"/>
    <mergeCell ref="A2:C2"/>
    <mergeCell ref="A4:E4"/>
    <mergeCell ref="A5:E5"/>
    <mergeCell ref="D73:J73"/>
    <mergeCell ref="D74:J74"/>
    <mergeCell ref="D75:J75"/>
    <mergeCell ref="A70:J70"/>
    <mergeCell ref="D17:J17"/>
    <mergeCell ref="D18:J18"/>
    <mergeCell ref="D19:J19"/>
    <mergeCell ref="D20:J20"/>
    <mergeCell ref="D21:J21"/>
    <mergeCell ref="D22:J22"/>
    <mergeCell ref="D23:J23"/>
    <mergeCell ref="F52:G52"/>
    <mergeCell ref="H52:J52"/>
    <mergeCell ref="A48:E48"/>
    <mergeCell ref="F48:G48"/>
    <mergeCell ref="H48:J48"/>
    <mergeCell ref="A49:E49"/>
    <mergeCell ref="F49:G49"/>
    <mergeCell ref="H49:J49"/>
    <mergeCell ref="F67:J67"/>
    <mergeCell ref="F68:J68"/>
    <mergeCell ref="A68:E68"/>
    <mergeCell ref="A59:E59"/>
    <mergeCell ref="A60:E60"/>
    <mergeCell ref="A38:J38"/>
    <mergeCell ref="A34:J34"/>
    <mergeCell ref="A32:J32"/>
    <mergeCell ref="A30:J30"/>
    <mergeCell ref="A28:J28"/>
    <mergeCell ref="A26:J26"/>
    <mergeCell ref="A27:J27"/>
    <mergeCell ref="A29:J29"/>
    <mergeCell ref="A31:J31"/>
    <mergeCell ref="A33:J33"/>
    <mergeCell ref="H35:J35"/>
    <mergeCell ref="H36:J36"/>
    <mergeCell ref="H37:J37"/>
    <mergeCell ref="C37:F37"/>
    <mergeCell ref="C36:F36"/>
    <mergeCell ref="C35:F35"/>
    <mergeCell ref="A46:E46"/>
    <mergeCell ref="F46:G46"/>
    <mergeCell ref="H39:J39"/>
    <mergeCell ref="H40:J40"/>
    <mergeCell ref="H41:J41"/>
    <mergeCell ref="H43:J43"/>
    <mergeCell ref="H44:J44"/>
    <mergeCell ref="H45:J45"/>
    <mergeCell ref="H46:J46"/>
    <mergeCell ref="A44:E44"/>
    <mergeCell ref="F44:G44"/>
    <mergeCell ref="A39:E39"/>
    <mergeCell ref="A40:E40"/>
    <mergeCell ref="A43:E43"/>
    <mergeCell ref="F39:G39"/>
    <mergeCell ref="F40:G40"/>
    <mergeCell ref="F43:G43"/>
    <mergeCell ref="A42:E42"/>
    <mergeCell ref="F42:G42"/>
    <mergeCell ref="H42:J42"/>
    <mergeCell ref="A9:E9"/>
    <mergeCell ref="A10:E10"/>
    <mergeCell ref="A13:C13"/>
    <mergeCell ref="A6:E6"/>
    <mergeCell ref="A16:J16"/>
    <mergeCell ref="A11:J11"/>
    <mergeCell ref="D12:J12"/>
    <mergeCell ref="D14:J14"/>
    <mergeCell ref="D13:J13"/>
    <mergeCell ref="D15:J15"/>
    <mergeCell ref="A15:C15"/>
    <mergeCell ref="A12:C12"/>
    <mergeCell ref="A24:J24"/>
    <mergeCell ref="F9:J9"/>
    <mergeCell ref="F10:J10"/>
    <mergeCell ref="A72:C72"/>
    <mergeCell ref="A73:C73"/>
    <mergeCell ref="A74:C74"/>
    <mergeCell ref="A71:C71"/>
    <mergeCell ref="A78:C78"/>
    <mergeCell ref="A79:C79"/>
    <mergeCell ref="A66:J66"/>
    <mergeCell ref="A62:J62"/>
    <mergeCell ref="A41:E41"/>
    <mergeCell ref="F41:G41"/>
    <mergeCell ref="A25:J25"/>
    <mergeCell ref="A23:C23"/>
    <mergeCell ref="A21:C21"/>
    <mergeCell ref="A22:C22"/>
    <mergeCell ref="A17:C17"/>
    <mergeCell ref="A19:C19"/>
    <mergeCell ref="A18:C18"/>
    <mergeCell ref="A14:C14"/>
    <mergeCell ref="A45:E45"/>
    <mergeCell ref="F45:G45"/>
    <mergeCell ref="A20:C20"/>
    <mergeCell ref="A56:E56"/>
    <mergeCell ref="F56:G56"/>
    <mergeCell ref="H56:J56"/>
    <mergeCell ref="A69:J69"/>
    <mergeCell ref="A86:C86"/>
    <mergeCell ref="A83:C83"/>
    <mergeCell ref="A85:C85"/>
    <mergeCell ref="A81:J81"/>
    <mergeCell ref="A82:J82"/>
    <mergeCell ref="D83:J83"/>
    <mergeCell ref="D85:J85"/>
    <mergeCell ref="D86:J86"/>
    <mergeCell ref="A80:C80"/>
    <mergeCell ref="A75:C75"/>
    <mergeCell ref="A76:C76"/>
    <mergeCell ref="A77:C77"/>
    <mergeCell ref="D76:J76"/>
    <mergeCell ref="D77:J77"/>
    <mergeCell ref="D78:J78"/>
    <mergeCell ref="D79:J79"/>
    <mergeCell ref="D80:J80"/>
    <mergeCell ref="A57:J57"/>
    <mergeCell ref="D71:J71"/>
    <mergeCell ref="D72:J72"/>
  </mergeCells>
  <pageMargins left="0.65833333333333333" right="0.59166666666666667" top="0.96666666666666667" bottom="1.0333333333333334" header="0.3" footer="0.3"/>
  <pageSetup paperSize="9" scale="64" fitToHeight="0" orientation="portrait" r:id="rId1"/>
  <headerFooter>
    <oddHeader xml:space="preserve">&amp;L&amp;G&amp;C&amp;"Montserrat,Bold"&amp;12&amp;K00B4E4Planning Review&amp;R&amp;"Montserrat,Bold"&amp;12&amp;K00B4E4Project Phase Review </oddHeader>
    <oddFooter>&amp;L&amp;"Montserrat,Regular"&amp;10MOD-PPR.1
&amp;KEA8651Document code &amp;C&amp;"Montserrat,Regular"&amp;10&amp;K333333***CONFIDENTIAL***&amp;R&amp;"Montserrat,Regular"&amp;10&amp;K333333Page &amp;P of &amp;N</oddFooter>
  </headerFooter>
  <rowBreaks count="2" manualBreakCount="2">
    <brk id="37" max="9" man="1"/>
    <brk id="56" max="9" man="1"/>
  </rowBreaks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3E8C5-D9C9-436B-B273-62540C9F6788}">
  <sheetPr>
    <pageSetUpPr fitToPage="1"/>
  </sheetPr>
  <dimension ref="A1:J25"/>
  <sheetViews>
    <sheetView showGridLines="0" view="pageLayout" topLeftCell="A14" zoomScale="87" zoomScaleNormal="100" zoomScalePageLayoutView="87" workbookViewId="0">
      <selection activeCell="F14" sqref="F14:H14"/>
    </sheetView>
  </sheetViews>
  <sheetFormatPr defaultColWidth="8.85546875" defaultRowHeight="15"/>
  <cols>
    <col min="1" max="6" width="13.28515625" style="1" customWidth="1"/>
    <col min="7" max="7" width="11.5703125" style="1" customWidth="1"/>
    <col min="8" max="8" width="10.28515625" style="1" customWidth="1"/>
    <col min="9" max="9" width="13.28515625" style="1" customWidth="1"/>
    <col min="10" max="10" width="18.5703125" style="1" customWidth="1"/>
    <col min="11" max="16384" width="8.85546875" style="1"/>
  </cols>
  <sheetData>
    <row r="1" spans="1:10" ht="30" customHeight="1">
      <c r="A1" s="189" t="s">
        <v>235</v>
      </c>
      <c r="B1" s="190"/>
      <c r="C1" s="190"/>
      <c r="D1" s="190"/>
      <c r="E1" s="190"/>
      <c r="F1" s="190"/>
      <c r="G1" s="190"/>
      <c r="H1" s="190"/>
      <c r="I1" s="190"/>
      <c r="J1" s="191"/>
    </row>
    <row r="2" spans="1:10" ht="18">
      <c r="A2" s="192" t="s">
        <v>112</v>
      </c>
      <c r="B2" s="193"/>
      <c r="C2" s="193"/>
      <c r="D2" s="194" t="s">
        <v>113</v>
      </c>
      <c r="E2" s="195"/>
      <c r="F2" s="195"/>
      <c r="G2" s="195"/>
      <c r="H2" s="195"/>
      <c r="I2" s="195"/>
      <c r="J2" s="196"/>
    </row>
    <row r="3" spans="1:10" ht="25.9" customHeight="1">
      <c r="A3" s="197" t="s">
        <v>114</v>
      </c>
      <c r="B3" s="198"/>
      <c r="C3" s="198"/>
      <c r="D3" s="198"/>
      <c r="E3" s="198"/>
      <c r="F3" s="198"/>
      <c r="G3" s="198"/>
      <c r="H3" s="198"/>
      <c r="I3" s="198"/>
      <c r="J3" s="199"/>
    </row>
    <row r="4" spans="1:10" ht="18">
      <c r="A4" s="200" t="s">
        <v>115</v>
      </c>
      <c r="B4" s="201"/>
      <c r="C4" s="201"/>
      <c r="D4" s="201"/>
      <c r="E4" s="201"/>
      <c r="F4" s="201" t="s">
        <v>116</v>
      </c>
      <c r="G4" s="201"/>
      <c r="H4" s="201"/>
      <c r="I4" s="201"/>
      <c r="J4" s="202"/>
    </row>
    <row r="5" spans="1:10" ht="18">
      <c r="A5" s="184"/>
      <c r="B5" s="185"/>
      <c r="C5" s="185"/>
      <c r="D5" s="185"/>
      <c r="E5" s="186"/>
      <c r="F5" s="483"/>
      <c r="G5" s="484"/>
      <c r="H5" s="484"/>
      <c r="I5" s="484"/>
      <c r="J5" s="485"/>
    </row>
    <row r="6" spans="1:10" ht="18">
      <c r="A6" s="184"/>
      <c r="B6" s="185"/>
      <c r="C6" s="185"/>
      <c r="D6" s="185"/>
      <c r="E6" s="185"/>
      <c r="F6" s="481"/>
      <c r="G6" s="481"/>
      <c r="H6" s="481"/>
      <c r="I6" s="481"/>
      <c r="J6" s="482"/>
    </row>
    <row r="7" spans="1:10" ht="18">
      <c r="A7" s="184"/>
      <c r="B7" s="185"/>
      <c r="C7" s="185"/>
      <c r="D7" s="185"/>
      <c r="E7" s="185"/>
      <c r="F7" s="481"/>
      <c r="G7" s="481"/>
      <c r="H7" s="481"/>
      <c r="I7" s="481"/>
      <c r="J7" s="482"/>
    </row>
    <row r="8" spans="1:10" ht="18">
      <c r="A8" s="184"/>
      <c r="B8" s="185"/>
      <c r="C8" s="185"/>
      <c r="D8" s="185"/>
      <c r="E8" s="185"/>
      <c r="F8" s="481"/>
      <c r="G8" s="481"/>
      <c r="H8" s="481"/>
      <c r="I8" s="481"/>
      <c r="J8" s="482"/>
    </row>
    <row r="9" spans="1:10" ht="18">
      <c r="A9" s="184"/>
      <c r="B9" s="185"/>
      <c r="C9" s="185"/>
      <c r="D9" s="185"/>
      <c r="E9" s="185"/>
      <c r="F9" s="502" t="s">
        <v>465</v>
      </c>
      <c r="G9" s="502"/>
      <c r="H9" s="502"/>
      <c r="I9" s="502"/>
      <c r="J9" s="503"/>
    </row>
    <row r="10" spans="1:10" ht="18">
      <c r="A10" s="184"/>
      <c r="B10" s="185"/>
      <c r="C10" s="185"/>
      <c r="D10" s="185"/>
      <c r="E10" s="185"/>
      <c r="F10" s="502" t="s">
        <v>464</v>
      </c>
      <c r="G10" s="502"/>
      <c r="H10" s="502"/>
      <c r="I10" s="502"/>
      <c r="J10" s="503"/>
    </row>
    <row r="11" spans="1:10" ht="52.15" customHeight="1">
      <c r="A11" s="159" t="s">
        <v>118</v>
      </c>
      <c r="B11" s="160"/>
      <c r="C11" s="160"/>
      <c r="D11" s="160"/>
      <c r="E11" s="161"/>
      <c r="F11" s="504" t="s">
        <v>236</v>
      </c>
      <c r="G11" s="505"/>
      <c r="H11" s="505"/>
      <c r="I11" s="505"/>
      <c r="J11" s="506"/>
    </row>
    <row r="12" spans="1:10" ht="25.9" customHeight="1">
      <c r="A12" s="499" t="s">
        <v>135</v>
      </c>
      <c r="B12" s="500"/>
      <c r="C12" s="500"/>
      <c r="D12" s="500"/>
      <c r="E12" s="500"/>
      <c r="F12" s="500"/>
      <c r="G12" s="500"/>
      <c r="H12" s="500"/>
      <c r="I12" s="500"/>
      <c r="J12" s="501"/>
    </row>
    <row r="13" spans="1:10">
      <c r="A13" s="486" t="s">
        <v>100</v>
      </c>
      <c r="B13" s="487"/>
      <c r="C13" s="487"/>
      <c r="D13" s="487"/>
      <c r="E13" s="487"/>
      <c r="F13" s="487" t="s">
        <v>136</v>
      </c>
      <c r="G13" s="487"/>
      <c r="H13" s="487"/>
      <c r="I13" s="487" t="s">
        <v>188</v>
      </c>
      <c r="J13" s="498"/>
    </row>
    <row r="14" spans="1:10" ht="308.45" customHeight="1">
      <c r="A14" s="205" t="s">
        <v>573</v>
      </c>
      <c r="B14" s="206"/>
      <c r="C14" s="206"/>
      <c r="D14" s="206"/>
      <c r="E14" s="206"/>
      <c r="F14" s="158" t="s">
        <v>237</v>
      </c>
      <c r="G14" s="158"/>
      <c r="H14" s="158"/>
      <c r="I14" s="158" t="s">
        <v>190</v>
      </c>
      <c r="J14" s="344"/>
    </row>
    <row r="15" spans="1:10" ht="33.75" customHeight="1">
      <c r="A15" s="205" t="s">
        <v>238</v>
      </c>
      <c r="B15" s="206"/>
      <c r="C15" s="206"/>
      <c r="D15" s="206"/>
      <c r="E15" s="206"/>
      <c r="F15" s="158" t="s">
        <v>239</v>
      </c>
      <c r="G15" s="158"/>
      <c r="H15" s="158"/>
      <c r="I15" s="158" t="s">
        <v>190</v>
      </c>
      <c r="J15" s="344"/>
    </row>
    <row r="16" spans="1:10" s="24" customFormat="1" ht="48" customHeight="1">
      <c r="A16" s="156" t="s">
        <v>570</v>
      </c>
      <c r="B16" s="157"/>
      <c r="C16" s="157"/>
      <c r="D16" s="157"/>
      <c r="E16" s="157"/>
      <c r="F16" s="158" t="s">
        <v>24</v>
      </c>
      <c r="G16" s="158"/>
      <c r="H16" s="158" t="s">
        <v>190</v>
      </c>
      <c r="I16" s="158"/>
      <c r="J16" s="158"/>
    </row>
    <row r="17" spans="1:10" ht="18" customHeight="1">
      <c r="A17" s="174" t="s">
        <v>229</v>
      </c>
      <c r="B17" s="175"/>
      <c r="C17" s="175"/>
      <c r="D17" s="175"/>
      <c r="E17" s="175"/>
      <c r="F17" s="175"/>
      <c r="G17" s="175"/>
      <c r="H17" s="175"/>
      <c r="I17" s="175"/>
      <c r="J17" s="176"/>
    </row>
    <row r="18" spans="1:10" ht="23.45" customHeight="1">
      <c r="A18" s="495" t="s">
        <v>241</v>
      </c>
      <c r="B18" s="496"/>
      <c r="C18" s="496"/>
      <c r="D18" s="496"/>
      <c r="E18" s="496"/>
      <c r="F18" s="496"/>
      <c r="G18" s="496"/>
      <c r="H18" s="496"/>
      <c r="I18" s="497"/>
      <c r="J18" s="108" t="s">
        <v>174</v>
      </c>
    </row>
    <row r="19" spans="1:10" ht="23.45" customHeight="1">
      <c r="A19" s="489" t="s">
        <v>509</v>
      </c>
      <c r="B19" s="490"/>
      <c r="C19" s="490"/>
      <c r="D19" s="490"/>
      <c r="E19" s="490"/>
      <c r="F19" s="490"/>
      <c r="G19" s="490"/>
      <c r="H19" s="490"/>
      <c r="I19" s="490"/>
      <c r="J19" s="108" t="s">
        <v>174</v>
      </c>
    </row>
    <row r="20" spans="1:10" ht="30" customHeight="1">
      <c r="A20" s="165" t="s">
        <v>242</v>
      </c>
      <c r="B20" s="166"/>
      <c r="C20" s="166"/>
      <c r="D20" s="166"/>
      <c r="E20" s="166"/>
      <c r="F20" s="166"/>
      <c r="G20" s="166"/>
      <c r="H20" s="166"/>
      <c r="I20" s="166"/>
      <c r="J20" s="110" t="s">
        <v>174</v>
      </c>
    </row>
    <row r="21" spans="1:10" ht="32.450000000000003" customHeight="1">
      <c r="A21" s="177" t="s">
        <v>243</v>
      </c>
      <c r="B21" s="178"/>
      <c r="C21" s="178"/>
      <c r="D21" s="178"/>
      <c r="E21" s="178"/>
      <c r="F21" s="178"/>
      <c r="G21" s="178"/>
      <c r="H21" s="178"/>
      <c r="I21" s="488"/>
      <c r="J21" s="111" t="s">
        <v>174</v>
      </c>
    </row>
    <row r="22" spans="1:10" ht="18" customHeight="1">
      <c r="A22" s="489" t="s">
        <v>350</v>
      </c>
      <c r="B22" s="490"/>
      <c r="C22" s="490"/>
      <c r="D22" s="490"/>
      <c r="E22" s="490"/>
      <c r="F22" s="490"/>
      <c r="G22" s="490"/>
      <c r="H22" s="490"/>
      <c r="I22" s="490"/>
      <c r="J22" s="491"/>
    </row>
    <row r="23" spans="1:10" ht="31.9" customHeight="1">
      <c r="A23" s="492"/>
      <c r="B23" s="493"/>
      <c r="C23" s="493"/>
      <c r="D23" s="493"/>
      <c r="E23" s="493"/>
      <c r="F23" s="493"/>
      <c r="G23" s="493"/>
      <c r="H23" s="493"/>
      <c r="I23" s="493"/>
      <c r="J23" s="494"/>
    </row>
    <row r="24" spans="1:10" ht="18">
      <c r="A24" s="368" t="s">
        <v>171</v>
      </c>
      <c r="B24" s="369"/>
      <c r="C24" s="369"/>
      <c r="D24" s="369"/>
      <c r="E24" s="369"/>
      <c r="F24" s="369"/>
      <c r="G24" s="369"/>
      <c r="H24" s="369"/>
      <c r="I24" s="369"/>
      <c r="J24" s="370"/>
    </row>
    <row r="25" spans="1:10" ht="77.45" customHeight="1">
      <c r="A25" s="171" t="s">
        <v>232</v>
      </c>
      <c r="B25" s="172"/>
      <c r="C25" s="172"/>
      <c r="D25" s="172"/>
      <c r="E25" s="172"/>
      <c r="F25" s="172"/>
      <c r="G25" s="172"/>
      <c r="H25" s="172"/>
      <c r="I25" s="172"/>
      <c r="J25" s="173"/>
    </row>
  </sheetData>
  <mergeCells count="41">
    <mergeCell ref="A24:J24"/>
    <mergeCell ref="A25:J25"/>
    <mergeCell ref="A13:E13"/>
    <mergeCell ref="A14:E14"/>
    <mergeCell ref="A15:E15"/>
    <mergeCell ref="F13:H13"/>
    <mergeCell ref="A20:I20"/>
    <mergeCell ref="A21:I21"/>
    <mergeCell ref="A22:J23"/>
    <mergeCell ref="A17:J17"/>
    <mergeCell ref="A18:I18"/>
    <mergeCell ref="I13:J13"/>
    <mergeCell ref="I14:J14"/>
    <mergeCell ref="I15:J15"/>
    <mergeCell ref="A19:I19"/>
    <mergeCell ref="F14:H14"/>
    <mergeCell ref="A1:J1"/>
    <mergeCell ref="A2:C2"/>
    <mergeCell ref="D2:J2"/>
    <mergeCell ref="A3:J3"/>
    <mergeCell ref="A4:E4"/>
    <mergeCell ref="F4:J4"/>
    <mergeCell ref="A5:E5"/>
    <mergeCell ref="F5:J5"/>
    <mergeCell ref="A6:E6"/>
    <mergeCell ref="F6:J6"/>
    <mergeCell ref="A7:E7"/>
    <mergeCell ref="F7:J7"/>
    <mergeCell ref="A8:E8"/>
    <mergeCell ref="F8:J8"/>
    <mergeCell ref="A9:E9"/>
    <mergeCell ref="A16:E16"/>
    <mergeCell ref="F16:G16"/>
    <mergeCell ref="H16:J16"/>
    <mergeCell ref="A12:J12"/>
    <mergeCell ref="F15:H15"/>
    <mergeCell ref="F9:J9"/>
    <mergeCell ref="A10:E10"/>
    <mergeCell ref="F10:J10"/>
    <mergeCell ref="A11:E11"/>
    <mergeCell ref="F11:J11"/>
  </mergeCells>
  <pageMargins left="0.65833333333333333" right="0.59166666666666667" top="0.96666666666666667" bottom="1.0333333333333334" header="0.3" footer="0.3"/>
  <pageSetup paperSize="9" scale="66" fitToHeight="0" orientation="portrait" r:id="rId1"/>
  <headerFooter>
    <oddHeader xml:space="preserve">&amp;L&amp;G&amp;C&amp;"Montserrat,Bold"&amp;12&amp;K00B4E4Pre-Serie Launch Review&amp;R&amp;"Montserrat,Bold"&amp;12&amp;K00B4E4Project Phase Review     </oddHeader>
    <oddFooter>&amp;L&amp;"Montserrat,Regular"&amp;10MOD-PPR.1
&amp;KEA8651Document code &amp;C&amp;"Montserrat,Regular"&amp;10&amp;K333333***CONFIDENTIAL***&amp;R&amp;"Montserrat,Regular"&amp;10&amp;K333333Page &amp;P of &amp;N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730248D6-38CC-4B30-BF63-FC4258ABEB1A}">
          <x14:formula1>
            <xm:f>'Input for Excel'!$B$7:$B$9</xm:f>
          </x14:formula1>
          <xm:sqref>J18:J21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EB26-9423-4436-AF1F-A5D3FF8D1241}">
  <sheetPr>
    <pageSetUpPr fitToPage="1"/>
  </sheetPr>
  <dimension ref="A1:L51"/>
  <sheetViews>
    <sheetView showGridLines="0" view="pageLayout" topLeftCell="A16" zoomScale="87" zoomScaleNormal="100" zoomScalePageLayoutView="87" workbookViewId="0">
      <selection activeCell="A30" sqref="A30:E30"/>
    </sheetView>
  </sheetViews>
  <sheetFormatPr defaultColWidth="8.85546875" defaultRowHeight="15"/>
  <cols>
    <col min="1" max="5" width="13.28515625" style="1" customWidth="1"/>
    <col min="6" max="6" width="18.42578125" style="1" customWidth="1"/>
    <col min="7" max="7" width="16.140625" style="1" customWidth="1"/>
    <col min="8" max="8" width="13.28515625" style="1" customWidth="1"/>
    <col min="9" max="9" width="15.140625" style="1" customWidth="1"/>
    <col min="10" max="10" width="16.140625" style="1" customWidth="1"/>
    <col min="11" max="16384" width="8.85546875" style="1"/>
  </cols>
  <sheetData>
    <row r="1" spans="1:12" ht="30" customHeight="1">
      <c r="A1" s="507" t="s">
        <v>245</v>
      </c>
      <c r="B1" s="507"/>
      <c r="C1" s="507"/>
      <c r="D1" s="507"/>
      <c r="E1" s="507"/>
      <c r="F1" s="507"/>
      <c r="G1" s="507"/>
      <c r="H1" s="507"/>
      <c r="I1" s="507"/>
      <c r="J1" s="507"/>
    </row>
    <row r="2" spans="1:12" ht="18">
      <c r="A2" s="193" t="s">
        <v>112</v>
      </c>
      <c r="B2" s="193"/>
      <c r="C2" s="193"/>
      <c r="D2" s="194" t="s">
        <v>113</v>
      </c>
      <c r="E2" s="195"/>
      <c r="F2" s="195"/>
      <c r="G2" s="195"/>
      <c r="H2" s="195"/>
      <c r="I2" s="195"/>
      <c r="J2" s="508"/>
    </row>
    <row r="3" spans="1:12" ht="25.9" customHeight="1">
      <c r="A3" s="198" t="s">
        <v>114</v>
      </c>
      <c r="B3" s="198"/>
      <c r="C3" s="198"/>
      <c r="D3" s="198"/>
      <c r="E3" s="198"/>
      <c r="F3" s="198"/>
      <c r="G3" s="198"/>
      <c r="H3" s="198"/>
      <c r="I3" s="198"/>
      <c r="J3" s="198"/>
    </row>
    <row r="4" spans="1:12" ht="18">
      <c r="A4" s="201" t="s">
        <v>115</v>
      </c>
      <c r="B4" s="201"/>
      <c r="C4" s="201"/>
      <c r="D4" s="201"/>
      <c r="E4" s="201"/>
      <c r="F4" s="201" t="s">
        <v>116</v>
      </c>
      <c r="G4" s="201"/>
      <c r="H4" s="201"/>
      <c r="I4" s="201"/>
      <c r="J4" s="201"/>
    </row>
    <row r="5" spans="1:12" ht="18">
      <c r="A5" s="187"/>
      <c r="B5" s="185"/>
      <c r="C5" s="185"/>
      <c r="D5" s="185"/>
      <c r="E5" s="186"/>
      <c r="F5" s="187"/>
      <c r="G5" s="185"/>
      <c r="H5" s="185"/>
      <c r="I5" s="185"/>
      <c r="J5" s="186"/>
    </row>
    <row r="6" spans="1:12" ht="18">
      <c r="A6" s="187"/>
      <c r="B6" s="185"/>
      <c r="C6" s="185"/>
      <c r="D6" s="185"/>
      <c r="E6" s="186"/>
      <c r="F6" s="187"/>
      <c r="G6" s="185"/>
      <c r="H6" s="185"/>
      <c r="I6" s="185"/>
      <c r="J6" s="186"/>
    </row>
    <row r="7" spans="1:12" ht="18">
      <c r="A7" s="187"/>
      <c r="B7" s="185"/>
      <c r="C7" s="185"/>
      <c r="D7" s="185"/>
      <c r="E7" s="186"/>
      <c r="F7" s="187"/>
      <c r="G7" s="185"/>
      <c r="H7" s="185"/>
      <c r="I7" s="185"/>
      <c r="J7" s="186"/>
    </row>
    <row r="8" spans="1:12" ht="18">
      <c r="A8" s="187"/>
      <c r="B8" s="185"/>
      <c r="C8" s="185"/>
      <c r="D8" s="185"/>
      <c r="E8" s="186"/>
      <c r="F8" s="187"/>
      <c r="G8" s="185"/>
      <c r="H8" s="185"/>
      <c r="I8" s="185"/>
      <c r="J8" s="186"/>
    </row>
    <row r="9" spans="1:12" ht="18">
      <c r="A9" s="187"/>
      <c r="B9" s="185"/>
      <c r="C9" s="185"/>
      <c r="D9" s="185"/>
      <c r="E9" s="186"/>
      <c r="F9" s="483"/>
      <c r="G9" s="484"/>
      <c r="H9" s="484"/>
      <c r="I9" s="484"/>
      <c r="J9" s="512"/>
    </row>
    <row r="10" spans="1:12" ht="18">
      <c r="A10" s="187"/>
      <c r="B10" s="185"/>
      <c r="C10" s="185"/>
      <c r="D10" s="185"/>
      <c r="E10" s="185"/>
      <c r="F10" s="513" t="s">
        <v>510</v>
      </c>
      <c r="G10" s="513"/>
      <c r="H10" s="513"/>
      <c r="I10" s="513"/>
      <c r="J10" s="513"/>
    </row>
    <row r="11" spans="1:12" ht="50.45" customHeight="1">
      <c r="A11" s="159" t="s">
        <v>118</v>
      </c>
      <c r="B11" s="160"/>
      <c r="C11" s="160"/>
      <c r="D11" s="160"/>
      <c r="E11" s="161"/>
      <c r="F11" s="509" t="s">
        <v>236</v>
      </c>
      <c r="G11" s="510"/>
      <c r="H11" s="510"/>
      <c r="I11" s="510"/>
      <c r="J11" s="511"/>
    </row>
    <row r="12" spans="1:12" s="24" customFormat="1" ht="45" customHeight="1">
      <c r="A12" s="203" t="s">
        <v>135</v>
      </c>
      <c r="B12" s="204"/>
      <c r="C12" s="204"/>
      <c r="D12" s="204"/>
      <c r="E12" s="204"/>
      <c r="F12" s="204"/>
      <c r="G12" s="204"/>
      <c r="H12" s="204"/>
      <c r="I12" s="204"/>
      <c r="J12" s="204"/>
      <c r="K12" s="94"/>
      <c r="L12" s="94"/>
    </row>
    <row r="13" spans="1:12" s="24" customFormat="1" ht="25.15" customHeight="1">
      <c r="A13" s="208" t="s">
        <v>100</v>
      </c>
      <c r="B13" s="209"/>
      <c r="C13" s="209"/>
      <c r="D13" s="209"/>
      <c r="E13" s="210"/>
      <c r="F13" s="211" t="s">
        <v>136</v>
      </c>
      <c r="G13" s="211"/>
      <c r="H13" s="212" t="s">
        <v>188</v>
      </c>
      <c r="I13" s="213"/>
      <c r="J13" s="213"/>
    </row>
    <row r="14" spans="1:12" s="24" customFormat="1" ht="48" customHeight="1">
      <c r="A14" s="205" t="s">
        <v>238</v>
      </c>
      <c r="B14" s="206"/>
      <c r="C14" s="206"/>
      <c r="D14" s="206"/>
      <c r="E14" s="206"/>
      <c r="F14" s="158" t="s">
        <v>239</v>
      </c>
      <c r="G14" s="158"/>
      <c r="H14" s="158" t="s">
        <v>190</v>
      </c>
      <c r="I14" s="158"/>
      <c r="J14" s="158"/>
    </row>
    <row r="15" spans="1:12" s="24" customFormat="1" ht="48" customHeight="1">
      <c r="A15" s="205" t="s">
        <v>535</v>
      </c>
      <c r="B15" s="206"/>
      <c r="C15" s="206"/>
      <c r="D15" s="206"/>
      <c r="E15" s="206"/>
      <c r="F15" s="158" t="s">
        <v>536</v>
      </c>
      <c r="G15" s="158"/>
      <c r="H15" s="158" t="s">
        <v>190</v>
      </c>
      <c r="I15" s="158"/>
      <c r="J15" s="158"/>
    </row>
    <row r="16" spans="1:12" s="24" customFormat="1" ht="48" customHeight="1">
      <c r="A16" s="205" t="s">
        <v>511</v>
      </c>
      <c r="B16" s="206"/>
      <c r="C16" s="206"/>
      <c r="D16" s="206"/>
      <c r="E16" s="206"/>
      <c r="F16" s="158" t="s">
        <v>473</v>
      </c>
      <c r="G16" s="158"/>
      <c r="H16" s="158" t="s">
        <v>190</v>
      </c>
      <c r="I16" s="158"/>
      <c r="J16" s="158"/>
    </row>
    <row r="17" spans="1:12" s="24" customFormat="1" ht="48" customHeight="1">
      <c r="A17" s="205" t="s">
        <v>247</v>
      </c>
      <c r="B17" s="206"/>
      <c r="C17" s="206"/>
      <c r="D17" s="206"/>
      <c r="E17" s="206"/>
      <c r="F17" s="158" t="s">
        <v>248</v>
      </c>
      <c r="G17" s="158"/>
      <c r="H17" s="158" t="s">
        <v>190</v>
      </c>
      <c r="I17" s="158"/>
      <c r="J17" s="158"/>
    </row>
    <row r="18" spans="1:12" s="24" customFormat="1" ht="48" customHeight="1">
      <c r="A18" s="205" t="s">
        <v>249</v>
      </c>
      <c r="B18" s="206"/>
      <c r="C18" s="206"/>
      <c r="D18" s="206"/>
      <c r="E18" s="206"/>
      <c r="F18" s="158" t="s">
        <v>246</v>
      </c>
      <c r="G18" s="158"/>
      <c r="H18" s="158" t="s">
        <v>190</v>
      </c>
      <c r="I18" s="158"/>
      <c r="J18" s="158"/>
    </row>
    <row r="19" spans="1:12" s="24" customFormat="1" ht="48" customHeight="1">
      <c r="A19" s="205" t="s">
        <v>250</v>
      </c>
      <c r="B19" s="206"/>
      <c r="C19" s="206"/>
      <c r="D19" s="206"/>
      <c r="E19" s="206"/>
      <c r="F19" s="158" t="s">
        <v>251</v>
      </c>
      <c r="G19" s="158"/>
      <c r="H19" s="158" t="s">
        <v>190</v>
      </c>
      <c r="I19" s="158"/>
      <c r="J19" s="158"/>
    </row>
    <row r="20" spans="1:12" s="24" customFormat="1" ht="48" customHeight="1">
      <c r="A20" s="205" t="s">
        <v>252</v>
      </c>
      <c r="B20" s="206"/>
      <c r="C20" s="206"/>
      <c r="D20" s="206"/>
      <c r="E20" s="206"/>
      <c r="F20" s="158" t="s">
        <v>253</v>
      </c>
      <c r="G20" s="158"/>
      <c r="H20" s="158" t="s">
        <v>190</v>
      </c>
      <c r="I20" s="158"/>
      <c r="J20" s="158"/>
    </row>
    <row r="21" spans="1:12" s="24" customFormat="1" ht="48" customHeight="1">
      <c r="A21" s="205" t="s">
        <v>254</v>
      </c>
      <c r="B21" s="206"/>
      <c r="C21" s="206"/>
      <c r="D21" s="206"/>
      <c r="E21" s="206"/>
      <c r="F21" s="158" t="s">
        <v>240</v>
      </c>
      <c r="G21" s="158"/>
      <c r="H21" s="158" t="s">
        <v>190</v>
      </c>
      <c r="I21" s="158"/>
      <c r="J21" s="158"/>
    </row>
    <row r="22" spans="1:12" s="24" customFormat="1" ht="48" customHeight="1">
      <c r="A22" s="205" t="s">
        <v>255</v>
      </c>
      <c r="B22" s="206"/>
      <c r="C22" s="206"/>
      <c r="D22" s="206"/>
      <c r="E22" s="206"/>
      <c r="F22" s="158" t="s">
        <v>256</v>
      </c>
      <c r="G22" s="158"/>
      <c r="H22" s="158" t="s">
        <v>190</v>
      </c>
      <c r="I22" s="158"/>
      <c r="J22" s="158"/>
    </row>
    <row r="23" spans="1:12" s="24" customFormat="1" ht="48" customHeight="1">
      <c r="A23" s="205" t="s">
        <v>257</v>
      </c>
      <c r="B23" s="206"/>
      <c r="C23" s="206"/>
      <c r="D23" s="206"/>
      <c r="E23" s="206"/>
      <c r="F23" s="158" t="s">
        <v>258</v>
      </c>
      <c r="G23" s="158"/>
      <c r="H23" s="158" t="s">
        <v>190</v>
      </c>
      <c r="I23" s="158"/>
      <c r="J23" s="158"/>
    </row>
    <row r="24" spans="1:12" s="24" customFormat="1" ht="48" customHeight="1">
      <c r="A24" s="205" t="s">
        <v>259</v>
      </c>
      <c r="B24" s="206"/>
      <c r="C24" s="206"/>
      <c r="D24" s="206"/>
      <c r="E24" s="206"/>
      <c r="F24" s="158" t="s">
        <v>260</v>
      </c>
      <c r="G24" s="158"/>
      <c r="H24" s="158" t="s">
        <v>190</v>
      </c>
      <c r="I24" s="158"/>
      <c r="J24" s="158"/>
    </row>
    <row r="25" spans="1:12" s="24" customFormat="1" ht="48" customHeight="1">
      <c r="A25" s="205" t="s">
        <v>512</v>
      </c>
      <c r="B25" s="206"/>
      <c r="C25" s="206"/>
      <c r="D25" s="206"/>
      <c r="E25" s="206"/>
      <c r="F25" s="158" t="s">
        <v>261</v>
      </c>
      <c r="G25" s="158"/>
      <c r="H25" s="158" t="s">
        <v>190</v>
      </c>
      <c r="I25" s="158"/>
      <c r="J25" s="158"/>
    </row>
    <row r="26" spans="1:12" s="24" customFormat="1" ht="48" customHeight="1">
      <c r="A26" s="205" t="s">
        <v>262</v>
      </c>
      <c r="B26" s="206"/>
      <c r="C26" s="206"/>
      <c r="D26" s="206"/>
      <c r="E26" s="206"/>
      <c r="F26" s="158" t="s">
        <v>263</v>
      </c>
      <c r="G26" s="158"/>
      <c r="H26" s="158" t="s">
        <v>190</v>
      </c>
      <c r="I26" s="158"/>
      <c r="J26" s="158"/>
    </row>
    <row r="27" spans="1:12" s="24" customFormat="1" ht="48" customHeight="1">
      <c r="A27" s="205" t="s">
        <v>264</v>
      </c>
      <c r="B27" s="206"/>
      <c r="C27" s="206"/>
      <c r="D27" s="206"/>
      <c r="E27" s="206"/>
      <c r="F27" s="158" t="s">
        <v>265</v>
      </c>
      <c r="G27" s="158"/>
      <c r="H27" s="158" t="s">
        <v>190</v>
      </c>
      <c r="I27" s="158"/>
      <c r="J27" s="158"/>
    </row>
    <row r="28" spans="1:12" s="24" customFormat="1" ht="48" customHeight="1">
      <c r="A28" s="205" t="s">
        <v>513</v>
      </c>
      <c r="B28" s="206"/>
      <c r="C28" s="206"/>
      <c r="D28" s="206"/>
      <c r="E28" s="206"/>
      <c r="F28" s="158" t="s">
        <v>472</v>
      </c>
      <c r="G28" s="158"/>
      <c r="H28" s="158" t="s">
        <v>190</v>
      </c>
      <c r="I28" s="158"/>
      <c r="J28" s="158"/>
    </row>
    <row r="29" spans="1:12" s="24" customFormat="1" ht="48" customHeight="1">
      <c r="A29" s="205" t="s">
        <v>514</v>
      </c>
      <c r="B29" s="206"/>
      <c r="C29" s="206"/>
      <c r="D29" s="206"/>
      <c r="E29" s="206"/>
      <c r="F29" s="158" t="s">
        <v>396</v>
      </c>
      <c r="G29" s="158"/>
      <c r="H29" s="158" t="s">
        <v>190</v>
      </c>
      <c r="I29" s="158"/>
      <c r="J29" s="158"/>
    </row>
    <row r="30" spans="1:12" s="24" customFormat="1" ht="48" customHeight="1">
      <c r="A30" s="156" t="s">
        <v>407</v>
      </c>
      <c r="B30" s="157"/>
      <c r="C30" s="157"/>
      <c r="D30" s="157"/>
      <c r="E30" s="157"/>
      <c r="F30" s="158" t="s">
        <v>474</v>
      </c>
      <c r="G30" s="158"/>
      <c r="H30" s="158" t="s">
        <v>190</v>
      </c>
      <c r="I30" s="158"/>
      <c r="J30" s="158"/>
    </row>
    <row r="31" spans="1:12" s="24" customFormat="1" ht="48" customHeight="1">
      <c r="A31" s="156" t="s">
        <v>570</v>
      </c>
      <c r="B31" s="157"/>
      <c r="C31" s="157"/>
      <c r="D31" s="157"/>
      <c r="E31" s="157"/>
      <c r="F31" s="158" t="s">
        <v>24</v>
      </c>
      <c r="G31" s="158"/>
      <c r="H31" s="158" t="s">
        <v>190</v>
      </c>
      <c r="I31" s="158"/>
      <c r="J31" s="158"/>
    </row>
    <row r="32" spans="1:12" s="24" customFormat="1" ht="45" customHeight="1">
      <c r="A32" s="203" t="s">
        <v>469</v>
      </c>
      <c r="B32" s="204"/>
      <c r="C32" s="204"/>
      <c r="D32" s="204"/>
      <c r="E32" s="204"/>
      <c r="F32" s="204"/>
      <c r="G32" s="204"/>
      <c r="H32" s="204"/>
      <c r="I32" s="204"/>
      <c r="J32" s="204"/>
      <c r="K32" s="94"/>
      <c r="L32" s="94"/>
    </row>
    <row r="33" spans="1:10" s="24" customFormat="1" ht="25.15" customHeight="1">
      <c r="A33" s="208" t="s">
        <v>100</v>
      </c>
      <c r="B33" s="209"/>
      <c r="C33" s="209"/>
      <c r="D33" s="209"/>
      <c r="E33" s="210"/>
      <c r="F33" s="211" t="s">
        <v>136</v>
      </c>
      <c r="G33" s="211"/>
      <c r="H33" s="212" t="s">
        <v>188</v>
      </c>
      <c r="I33" s="213"/>
      <c r="J33" s="213"/>
    </row>
    <row r="34" spans="1:10" s="24" customFormat="1" ht="48" customHeight="1">
      <c r="A34" s="156" t="s">
        <v>470</v>
      </c>
      <c r="B34" s="157"/>
      <c r="C34" s="157"/>
      <c r="D34" s="157"/>
      <c r="E34" s="157"/>
      <c r="F34" s="158" t="s">
        <v>24</v>
      </c>
      <c r="G34" s="158"/>
      <c r="H34" s="158" t="s">
        <v>471</v>
      </c>
      <c r="I34" s="158"/>
      <c r="J34" s="158"/>
    </row>
    <row r="35" spans="1:10" s="24" customFormat="1" ht="48" customHeight="1">
      <c r="A35" s="156" t="s">
        <v>145</v>
      </c>
      <c r="B35" s="157"/>
      <c r="C35" s="157"/>
      <c r="D35" s="157"/>
      <c r="E35" s="157"/>
      <c r="F35" s="158" t="s">
        <v>24</v>
      </c>
      <c r="G35" s="158"/>
      <c r="H35" s="158" t="s">
        <v>471</v>
      </c>
      <c r="I35" s="158"/>
      <c r="J35" s="158"/>
    </row>
    <row r="36" spans="1:10" ht="18" customHeight="1">
      <c r="A36" s="174" t="s">
        <v>229</v>
      </c>
      <c r="B36" s="175"/>
      <c r="C36" s="175"/>
      <c r="D36" s="175"/>
      <c r="E36" s="175"/>
      <c r="F36" s="175"/>
      <c r="G36" s="175"/>
      <c r="H36" s="175"/>
      <c r="I36" s="175"/>
      <c r="J36" s="176"/>
    </row>
    <row r="37" spans="1:10" ht="22.15" customHeight="1">
      <c r="A37" s="181" t="s">
        <v>500</v>
      </c>
      <c r="B37" s="182"/>
      <c r="C37" s="182"/>
      <c r="D37" s="182"/>
      <c r="E37" s="182"/>
      <c r="F37" s="182"/>
      <c r="G37" s="182"/>
      <c r="H37" s="182"/>
      <c r="I37" s="183"/>
      <c r="J37" s="108" t="s">
        <v>174</v>
      </c>
    </row>
    <row r="38" spans="1:10" ht="18">
      <c r="A38" s="165" t="s">
        <v>462</v>
      </c>
      <c r="B38" s="166"/>
      <c r="C38" s="166"/>
      <c r="D38" s="166"/>
      <c r="E38" s="166"/>
      <c r="F38" s="166"/>
      <c r="G38" s="166"/>
      <c r="H38" s="166"/>
      <c r="I38" s="167"/>
      <c r="J38" s="108" t="s">
        <v>174</v>
      </c>
    </row>
    <row r="39" spans="1:10" ht="18" customHeight="1">
      <c r="A39" s="165" t="s">
        <v>266</v>
      </c>
      <c r="B39" s="166"/>
      <c r="C39" s="166"/>
      <c r="D39" s="166"/>
      <c r="E39" s="166"/>
      <c r="F39" s="166"/>
      <c r="G39" s="166"/>
      <c r="H39" s="166"/>
      <c r="I39" s="167"/>
      <c r="J39" s="108" t="s">
        <v>174</v>
      </c>
    </row>
    <row r="40" spans="1:10" ht="18" customHeight="1">
      <c r="A40" s="165" t="s">
        <v>267</v>
      </c>
      <c r="B40" s="166"/>
      <c r="C40" s="166"/>
      <c r="D40" s="166"/>
      <c r="E40" s="166"/>
      <c r="F40" s="166"/>
      <c r="G40" s="166"/>
      <c r="H40" s="166"/>
      <c r="I40" s="166"/>
      <c r="J40" s="109" t="s">
        <v>174</v>
      </c>
    </row>
    <row r="41" spans="1:10" ht="18" customHeight="1">
      <c r="A41" s="165" t="s">
        <v>268</v>
      </c>
      <c r="B41" s="166"/>
      <c r="C41" s="166"/>
      <c r="D41" s="166"/>
      <c r="E41" s="166"/>
      <c r="F41" s="166"/>
      <c r="G41" s="166"/>
      <c r="H41" s="166"/>
      <c r="I41" s="166"/>
      <c r="J41" s="109" t="s">
        <v>174</v>
      </c>
    </row>
    <row r="42" spans="1:10" ht="18" customHeight="1">
      <c r="A42" s="165" t="s">
        <v>269</v>
      </c>
      <c r="B42" s="166"/>
      <c r="C42" s="166"/>
      <c r="D42" s="166"/>
      <c r="E42" s="166"/>
      <c r="F42" s="166"/>
      <c r="G42" s="166"/>
      <c r="H42" s="166"/>
      <c r="I42" s="166"/>
      <c r="J42" s="109" t="s">
        <v>174</v>
      </c>
    </row>
    <row r="43" spans="1:10" ht="18" customHeight="1">
      <c r="A43" s="165" t="s">
        <v>270</v>
      </c>
      <c r="B43" s="166"/>
      <c r="C43" s="166"/>
      <c r="D43" s="166"/>
      <c r="E43" s="166"/>
      <c r="F43" s="166"/>
      <c r="G43" s="166"/>
      <c r="H43" s="166"/>
      <c r="I43" s="166"/>
      <c r="J43" s="109" t="s">
        <v>174</v>
      </c>
    </row>
    <row r="44" spans="1:10" ht="15" customHeight="1">
      <c r="A44" s="165" t="s">
        <v>271</v>
      </c>
      <c r="B44" s="166"/>
      <c r="C44" s="166"/>
      <c r="D44" s="166"/>
      <c r="E44" s="166"/>
      <c r="F44" s="166"/>
      <c r="G44" s="166"/>
      <c r="H44" s="166"/>
      <c r="I44" s="166"/>
      <c r="J44" s="109" t="s">
        <v>174</v>
      </c>
    </row>
    <row r="45" spans="1:10" ht="18">
      <c r="A45" s="165" t="s">
        <v>272</v>
      </c>
      <c r="B45" s="166"/>
      <c r="C45" s="166"/>
      <c r="D45" s="166"/>
      <c r="E45" s="166"/>
      <c r="F45" s="166"/>
      <c r="G45" s="166"/>
      <c r="H45" s="166"/>
      <c r="I45" s="166"/>
      <c r="J45" s="109" t="s">
        <v>174</v>
      </c>
    </row>
    <row r="46" spans="1:10" ht="18" customHeight="1">
      <c r="A46" s="514" t="s">
        <v>242</v>
      </c>
      <c r="B46" s="515"/>
      <c r="C46" s="515"/>
      <c r="D46" s="515"/>
      <c r="E46" s="515"/>
      <c r="F46" s="515"/>
      <c r="G46" s="515"/>
      <c r="H46" s="515"/>
      <c r="I46" s="515"/>
      <c r="J46" s="113" t="s">
        <v>174</v>
      </c>
    </row>
    <row r="47" spans="1:10" ht="18" customHeight="1">
      <c r="A47" s="177" t="s">
        <v>273</v>
      </c>
      <c r="B47" s="178"/>
      <c r="C47" s="178"/>
      <c r="D47" s="178"/>
      <c r="E47" s="178"/>
      <c r="F47" s="178"/>
      <c r="G47" s="178"/>
      <c r="H47" s="178"/>
      <c r="I47" s="179"/>
      <c r="J47" s="114" t="s">
        <v>174</v>
      </c>
    </row>
    <row r="48" spans="1:10" ht="70.900000000000006" customHeight="1">
      <c r="A48" s="489" t="s">
        <v>244</v>
      </c>
      <c r="B48" s="490"/>
      <c r="C48" s="490"/>
      <c r="D48" s="490"/>
      <c r="E48" s="490"/>
      <c r="F48" s="490"/>
      <c r="G48" s="490"/>
      <c r="H48" s="490"/>
      <c r="I48" s="490"/>
      <c r="J48" s="491"/>
    </row>
    <row r="49" spans="1:10" ht="18">
      <c r="A49" s="368" t="s">
        <v>171</v>
      </c>
      <c r="B49" s="369"/>
      <c r="C49" s="369"/>
      <c r="D49" s="369"/>
      <c r="E49" s="369"/>
      <c r="F49" s="369"/>
      <c r="G49" s="369"/>
      <c r="H49" s="369"/>
      <c r="I49" s="369"/>
      <c r="J49" s="370"/>
    </row>
    <row r="50" spans="1:10" ht="94.9" customHeight="1">
      <c r="A50" s="171" t="s">
        <v>232</v>
      </c>
      <c r="B50" s="172"/>
      <c r="C50" s="172"/>
      <c r="D50" s="172"/>
      <c r="E50" s="172"/>
      <c r="F50" s="172"/>
      <c r="G50" s="172"/>
      <c r="H50" s="172"/>
      <c r="I50" s="172"/>
      <c r="J50" s="173"/>
    </row>
    <row r="51" spans="1:10" ht="42.6" customHeight="1">
      <c r="A51" s="106"/>
      <c r="B51" s="106"/>
      <c r="C51" s="106"/>
      <c r="D51" s="106"/>
      <c r="E51" s="106"/>
      <c r="F51" s="106"/>
      <c r="G51" s="106"/>
      <c r="H51" s="106"/>
      <c r="I51" s="106"/>
      <c r="J51" s="106"/>
    </row>
  </sheetData>
  <mergeCells count="103">
    <mergeCell ref="A37:I37"/>
    <mergeCell ref="A36:J36"/>
    <mergeCell ref="A50:J50"/>
    <mergeCell ref="H16:J16"/>
    <mergeCell ref="F16:G16"/>
    <mergeCell ref="A48:J48"/>
    <mergeCell ref="H17:J17"/>
    <mergeCell ref="F17:G17"/>
    <mergeCell ref="A17:E17"/>
    <mergeCell ref="A19:E19"/>
    <mergeCell ref="F19:G19"/>
    <mergeCell ref="H19:J19"/>
    <mergeCell ref="A24:E24"/>
    <mergeCell ref="F24:G24"/>
    <mergeCell ref="H24:J24"/>
    <mergeCell ref="A27:E27"/>
    <mergeCell ref="F27:G27"/>
    <mergeCell ref="H27:J27"/>
    <mergeCell ref="A38:I38"/>
    <mergeCell ref="A32:J32"/>
    <mergeCell ref="A33:E33"/>
    <mergeCell ref="F33:G33"/>
    <mergeCell ref="H33:J33"/>
    <mergeCell ref="A34:E34"/>
    <mergeCell ref="F34:G34"/>
    <mergeCell ref="H34:J34"/>
    <mergeCell ref="A39:I39"/>
    <mergeCell ref="H22:J22"/>
    <mergeCell ref="F14:G14"/>
    <mergeCell ref="F22:G22"/>
    <mergeCell ref="A14:E14"/>
    <mergeCell ref="A20:E20"/>
    <mergeCell ref="A21:E21"/>
    <mergeCell ref="A22:E22"/>
    <mergeCell ref="A16:E16"/>
    <mergeCell ref="A18:E18"/>
    <mergeCell ref="F18:G18"/>
    <mergeCell ref="H18:J18"/>
    <mergeCell ref="F20:G20"/>
    <mergeCell ref="F21:G21"/>
    <mergeCell ref="A15:E15"/>
    <mergeCell ref="F25:G25"/>
    <mergeCell ref="H25:J25"/>
    <mergeCell ref="H26:J26"/>
    <mergeCell ref="A26:E26"/>
    <mergeCell ref="F26:G26"/>
    <mergeCell ref="A25:E25"/>
    <mergeCell ref="A35:E35"/>
    <mergeCell ref="F35:G35"/>
    <mergeCell ref="H35:J35"/>
    <mergeCell ref="A47:I47"/>
    <mergeCell ref="A46:I46"/>
    <mergeCell ref="A45:I45"/>
    <mergeCell ref="A44:I44"/>
    <mergeCell ref="A49:J49"/>
    <mergeCell ref="A43:I43"/>
    <mergeCell ref="A42:I42"/>
    <mergeCell ref="A41:I41"/>
    <mergeCell ref="A40:I40"/>
    <mergeCell ref="F8:J8"/>
    <mergeCell ref="A9:E9"/>
    <mergeCell ref="F9:J9"/>
    <mergeCell ref="A10:E10"/>
    <mergeCell ref="F10:J10"/>
    <mergeCell ref="A5:E5"/>
    <mergeCell ref="F5:J5"/>
    <mergeCell ref="A6:E6"/>
    <mergeCell ref="F6:J6"/>
    <mergeCell ref="A7:E7"/>
    <mergeCell ref="F7:J7"/>
    <mergeCell ref="A28:E28"/>
    <mergeCell ref="F28:G28"/>
    <mergeCell ref="H28:J28"/>
    <mergeCell ref="A1:J1"/>
    <mergeCell ref="A2:C2"/>
    <mergeCell ref="A3:J3"/>
    <mergeCell ref="A4:E4"/>
    <mergeCell ref="F4:J4"/>
    <mergeCell ref="D2:J2"/>
    <mergeCell ref="A11:E11"/>
    <mergeCell ref="F11:J11"/>
    <mergeCell ref="A12:J12"/>
    <mergeCell ref="A13:E13"/>
    <mergeCell ref="F13:G13"/>
    <mergeCell ref="H13:J13"/>
    <mergeCell ref="A23:E23"/>
    <mergeCell ref="F23:G23"/>
    <mergeCell ref="H23:J23"/>
    <mergeCell ref="H14:J14"/>
    <mergeCell ref="H20:J20"/>
    <mergeCell ref="H21:J21"/>
    <mergeCell ref="F15:G15"/>
    <mergeCell ref="H15:J15"/>
    <mergeCell ref="A8:E8"/>
    <mergeCell ref="A31:E31"/>
    <mergeCell ref="F31:G31"/>
    <mergeCell ref="H31:J31"/>
    <mergeCell ref="A29:E29"/>
    <mergeCell ref="F29:G29"/>
    <mergeCell ref="H29:J29"/>
    <mergeCell ref="A30:E30"/>
    <mergeCell ref="F30:G30"/>
    <mergeCell ref="H30:J30"/>
  </mergeCells>
  <pageMargins left="0.65833333333333333" right="0.59166666666666667" top="0.96666666666666667" bottom="1.0333333333333334" header="0.3" footer="0.3"/>
  <pageSetup paperSize="9" scale="61" fitToHeight="0" orientation="portrait" r:id="rId1"/>
  <headerFooter>
    <oddHeader xml:space="preserve">&amp;L&amp;G&amp;C&amp;"Montserrat,Bold"&amp;12&amp;K00B4E4Execution Review&amp;R&amp;"Montserrat,Bold"&amp;12&amp;K00B4E4Project Phase Review </oddHeader>
    <oddFooter>&amp;L&amp;"Montserrat,Regular"&amp;10MOD-PPR.1
&amp;KEA8651Document code &amp;C&amp;"Montserrat,Regular"&amp;10&amp;K333333***CONFIDENTIAL***&amp;R&amp;"Montserrat,Regular"&amp;10&amp;K333333Page &amp;P of &amp;N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D4775CE-A123-4105-8E56-3659A227BBD9}">
          <x14:formula1>
            <xm:f>'Input for Excel'!$B$7:$B$9</xm:f>
          </x14:formula1>
          <xm:sqref>J37:J47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3B0F7-F26E-4FD1-B061-F45635D0E9D2}">
  <sheetPr>
    <pageSetUpPr fitToPage="1"/>
  </sheetPr>
  <dimension ref="A1:L57"/>
  <sheetViews>
    <sheetView showGridLines="0" tabSelected="1" view="pageLayout" zoomScale="85" zoomScaleNormal="100" zoomScalePageLayoutView="85" workbookViewId="0">
      <selection activeCell="A50" sqref="A50:I50"/>
    </sheetView>
  </sheetViews>
  <sheetFormatPr defaultColWidth="8.85546875" defaultRowHeight="15"/>
  <cols>
    <col min="1" max="10" width="13.28515625" style="1" customWidth="1"/>
    <col min="11" max="11" width="8.85546875" style="1"/>
    <col min="12" max="12" width="29.28515625" style="1" customWidth="1"/>
    <col min="13" max="16384" width="8.85546875" style="1"/>
  </cols>
  <sheetData>
    <row r="1" spans="1:12" ht="30" customHeight="1">
      <c r="A1" s="189" t="s">
        <v>274</v>
      </c>
      <c r="B1" s="190"/>
      <c r="C1" s="190"/>
      <c r="D1" s="190"/>
      <c r="E1" s="190"/>
      <c r="F1" s="190"/>
      <c r="G1" s="190"/>
      <c r="H1" s="190"/>
      <c r="I1" s="190"/>
      <c r="J1" s="191"/>
    </row>
    <row r="2" spans="1:12" ht="18">
      <c r="A2" s="192" t="s">
        <v>112</v>
      </c>
      <c r="B2" s="193"/>
      <c r="C2" s="193"/>
      <c r="D2" s="194" t="s">
        <v>113</v>
      </c>
      <c r="E2" s="195"/>
      <c r="F2" s="195"/>
      <c r="G2" s="195"/>
      <c r="H2" s="195"/>
      <c r="I2" s="195"/>
      <c r="J2" s="196"/>
    </row>
    <row r="3" spans="1:12" ht="25.9" customHeight="1">
      <c r="A3" s="297" t="s">
        <v>114</v>
      </c>
      <c r="B3" s="298"/>
      <c r="C3" s="298"/>
      <c r="D3" s="298"/>
      <c r="E3" s="298"/>
      <c r="F3" s="298"/>
      <c r="G3" s="298"/>
      <c r="H3" s="298"/>
      <c r="I3" s="298"/>
      <c r="J3" s="299"/>
    </row>
    <row r="4" spans="1:12" ht="21" customHeight="1">
      <c r="A4" s="300" t="s">
        <v>115</v>
      </c>
      <c r="B4" s="301"/>
      <c r="C4" s="301"/>
      <c r="D4" s="301"/>
      <c r="E4" s="301"/>
      <c r="F4" s="301" t="s">
        <v>116</v>
      </c>
      <c r="G4" s="301"/>
      <c r="H4" s="301"/>
      <c r="I4" s="301"/>
      <c r="J4" s="302"/>
    </row>
    <row r="5" spans="1:12" ht="18">
      <c r="A5" s="517"/>
      <c r="B5" s="518"/>
      <c r="C5" s="518"/>
      <c r="D5" s="518"/>
      <c r="E5" s="519"/>
      <c r="F5" s="520"/>
      <c r="G5" s="518"/>
      <c r="H5" s="518"/>
      <c r="I5" s="518"/>
      <c r="J5" s="521"/>
    </row>
    <row r="6" spans="1:12" ht="18">
      <c r="A6" s="184"/>
      <c r="B6" s="185"/>
      <c r="C6" s="185"/>
      <c r="D6" s="185"/>
      <c r="E6" s="186"/>
      <c r="F6" s="187"/>
      <c r="G6" s="185"/>
      <c r="H6" s="185"/>
      <c r="I6" s="185"/>
      <c r="J6" s="188"/>
    </row>
    <row r="7" spans="1:12" ht="18">
      <c r="A7" s="184"/>
      <c r="B7" s="185"/>
      <c r="C7" s="185"/>
      <c r="D7" s="185"/>
      <c r="E7" s="186"/>
      <c r="F7" s="187"/>
      <c r="G7" s="185"/>
      <c r="H7" s="185"/>
      <c r="I7" s="185"/>
      <c r="J7" s="188"/>
    </row>
    <row r="8" spans="1:12" ht="18">
      <c r="A8" s="184"/>
      <c r="B8" s="185"/>
      <c r="C8" s="185"/>
      <c r="D8" s="185"/>
      <c r="E8" s="186"/>
      <c r="F8" s="187"/>
      <c r="G8" s="185"/>
      <c r="H8" s="185"/>
      <c r="I8" s="185"/>
      <c r="J8" s="188"/>
    </row>
    <row r="9" spans="1:12" ht="18">
      <c r="A9" s="184"/>
      <c r="B9" s="185"/>
      <c r="C9" s="185"/>
      <c r="D9" s="185"/>
      <c r="E9" s="186"/>
      <c r="F9" s="187"/>
      <c r="G9" s="185"/>
      <c r="H9" s="185"/>
      <c r="I9" s="185"/>
      <c r="J9" s="188"/>
    </row>
    <row r="10" spans="1:12" ht="18">
      <c r="A10" s="184"/>
      <c r="B10" s="185"/>
      <c r="C10" s="185"/>
      <c r="D10" s="185"/>
      <c r="E10" s="186"/>
      <c r="F10" s="187"/>
      <c r="G10" s="185"/>
      <c r="H10" s="185"/>
      <c r="I10" s="185"/>
      <c r="J10" s="188"/>
    </row>
    <row r="11" spans="1:12" ht="57.6" customHeight="1">
      <c r="A11" s="159" t="s">
        <v>118</v>
      </c>
      <c r="B11" s="160"/>
      <c r="C11" s="160"/>
      <c r="D11" s="160"/>
      <c r="E11" s="161"/>
      <c r="F11" s="162" t="s">
        <v>119</v>
      </c>
      <c r="G11" s="163"/>
      <c r="H11" s="163"/>
      <c r="I11" s="163"/>
      <c r="J11" s="164"/>
    </row>
    <row r="12" spans="1:12" s="24" customFormat="1" ht="35.450000000000003" customHeight="1">
      <c r="A12" s="226" t="s">
        <v>135</v>
      </c>
      <c r="B12" s="227"/>
      <c r="C12" s="227"/>
      <c r="D12" s="227"/>
      <c r="E12" s="227"/>
      <c r="F12" s="227"/>
      <c r="G12" s="227"/>
      <c r="H12" s="227"/>
      <c r="I12" s="227"/>
      <c r="J12" s="228"/>
      <c r="K12" s="94"/>
      <c r="L12" s="94"/>
    </row>
    <row r="13" spans="1:12" s="24" customFormat="1" ht="25.15" customHeight="1">
      <c r="A13" s="208" t="s">
        <v>100</v>
      </c>
      <c r="B13" s="209"/>
      <c r="C13" s="209"/>
      <c r="D13" s="209"/>
      <c r="E13" s="210"/>
      <c r="F13" s="211" t="s">
        <v>136</v>
      </c>
      <c r="G13" s="211"/>
      <c r="H13" s="212" t="s">
        <v>188</v>
      </c>
      <c r="I13" s="213"/>
      <c r="J13" s="402"/>
    </row>
    <row r="14" spans="1:12" s="24" customFormat="1" ht="48" customHeight="1">
      <c r="A14" s="205" t="s">
        <v>352</v>
      </c>
      <c r="B14" s="206"/>
      <c r="C14" s="206"/>
      <c r="D14" s="206"/>
      <c r="E14" s="206"/>
      <c r="F14" s="158" t="s">
        <v>237</v>
      </c>
      <c r="G14" s="158"/>
      <c r="H14" s="207" t="s">
        <v>190</v>
      </c>
      <c r="I14" s="207"/>
      <c r="J14" s="403"/>
    </row>
    <row r="15" spans="1:12" s="24" customFormat="1" ht="48" customHeight="1">
      <c r="A15" s="516" t="s">
        <v>375</v>
      </c>
      <c r="B15" s="206"/>
      <c r="C15" s="206"/>
      <c r="D15" s="206"/>
      <c r="E15" s="206"/>
      <c r="F15" s="158" t="s">
        <v>376</v>
      </c>
      <c r="G15" s="158"/>
      <c r="H15" s="207" t="s">
        <v>190</v>
      </c>
      <c r="I15" s="207"/>
      <c r="J15" s="403"/>
    </row>
    <row r="16" spans="1:12" s="24" customFormat="1" ht="55.15" customHeight="1">
      <c r="A16" s="205" t="s">
        <v>354</v>
      </c>
      <c r="B16" s="206"/>
      <c r="C16" s="206"/>
      <c r="D16" s="206"/>
      <c r="E16" s="206"/>
      <c r="F16" s="158" t="s">
        <v>485</v>
      </c>
      <c r="G16" s="158"/>
      <c r="H16" s="207" t="s">
        <v>190</v>
      </c>
      <c r="I16" s="207"/>
      <c r="J16" s="403"/>
    </row>
    <row r="17" spans="1:10" s="24" customFormat="1" ht="48" customHeight="1">
      <c r="A17" s="205" t="s">
        <v>353</v>
      </c>
      <c r="B17" s="206"/>
      <c r="C17" s="206"/>
      <c r="D17" s="206"/>
      <c r="E17" s="206"/>
      <c r="F17" s="158" t="s">
        <v>475</v>
      </c>
      <c r="G17" s="158"/>
      <c r="H17" s="207" t="s">
        <v>190</v>
      </c>
      <c r="I17" s="207"/>
      <c r="J17" s="403"/>
    </row>
    <row r="18" spans="1:10" s="24" customFormat="1" ht="63.6" customHeight="1">
      <c r="A18" s="205" t="s">
        <v>355</v>
      </c>
      <c r="B18" s="206"/>
      <c r="C18" s="206"/>
      <c r="D18" s="206"/>
      <c r="E18" s="206"/>
      <c r="F18" s="158" t="s">
        <v>484</v>
      </c>
      <c r="G18" s="158"/>
      <c r="H18" s="207" t="s">
        <v>190</v>
      </c>
      <c r="I18" s="207"/>
      <c r="J18" s="403"/>
    </row>
    <row r="19" spans="1:10" s="24" customFormat="1" ht="68.45" customHeight="1">
      <c r="A19" s="205" t="s">
        <v>412</v>
      </c>
      <c r="B19" s="206"/>
      <c r="C19" s="206"/>
      <c r="D19" s="206"/>
      <c r="E19" s="206"/>
      <c r="F19" s="158" t="s">
        <v>486</v>
      </c>
      <c r="G19" s="158"/>
      <c r="H19" s="207" t="s">
        <v>190</v>
      </c>
      <c r="I19" s="207"/>
      <c r="J19" s="403"/>
    </row>
    <row r="20" spans="1:10" s="24" customFormat="1" ht="48" customHeight="1">
      <c r="A20" s="205" t="s">
        <v>357</v>
      </c>
      <c r="B20" s="206"/>
      <c r="C20" s="206"/>
      <c r="D20" s="206"/>
      <c r="E20" s="206"/>
      <c r="F20" s="158" t="s">
        <v>356</v>
      </c>
      <c r="G20" s="158"/>
      <c r="H20" s="207" t="s">
        <v>190</v>
      </c>
      <c r="I20" s="207"/>
      <c r="J20" s="403"/>
    </row>
    <row r="21" spans="1:10" s="24" customFormat="1" ht="48" customHeight="1">
      <c r="A21" s="205" t="s">
        <v>362</v>
      </c>
      <c r="B21" s="206"/>
      <c r="C21" s="206"/>
      <c r="D21" s="206"/>
      <c r="E21" s="206"/>
      <c r="F21" s="158" t="s">
        <v>361</v>
      </c>
      <c r="G21" s="158"/>
      <c r="H21" s="207" t="s">
        <v>190</v>
      </c>
      <c r="I21" s="207"/>
      <c r="J21" s="403"/>
    </row>
    <row r="22" spans="1:10" s="24" customFormat="1" ht="48" customHeight="1">
      <c r="A22" s="205" t="s">
        <v>481</v>
      </c>
      <c r="B22" s="206"/>
      <c r="C22" s="206"/>
      <c r="D22" s="206"/>
      <c r="E22" s="206"/>
      <c r="F22" s="158" t="s">
        <v>480</v>
      </c>
      <c r="G22" s="158"/>
      <c r="H22" s="207" t="s">
        <v>190</v>
      </c>
      <c r="I22" s="207"/>
      <c r="J22" s="403"/>
    </row>
    <row r="23" spans="1:10" s="24" customFormat="1" ht="48" customHeight="1">
      <c r="A23" s="205" t="s">
        <v>477</v>
      </c>
      <c r="B23" s="206"/>
      <c r="C23" s="206"/>
      <c r="D23" s="206"/>
      <c r="E23" s="206"/>
      <c r="F23" s="158" t="s">
        <v>364</v>
      </c>
      <c r="G23" s="158"/>
      <c r="H23" s="207" t="s">
        <v>190</v>
      </c>
      <c r="I23" s="207"/>
      <c r="J23" s="403"/>
    </row>
    <row r="24" spans="1:10" s="24" customFormat="1" ht="72.599999999999994" customHeight="1">
      <c r="A24" s="205" t="s">
        <v>515</v>
      </c>
      <c r="B24" s="206"/>
      <c r="C24" s="206"/>
      <c r="D24" s="206"/>
      <c r="E24" s="206"/>
      <c r="F24" s="158" t="s">
        <v>35</v>
      </c>
      <c r="G24" s="158"/>
      <c r="H24" s="207" t="s">
        <v>190</v>
      </c>
      <c r="I24" s="207"/>
      <c r="J24" s="403"/>
    </row>
    <row r="25" spans="1:10" s="24" customFormat="1" ht="48" customHeight="1">
      <c r="A25" s="205" t="s">
        <v>489</v>
      </c>
      <c r="B25" s="206"/>
      <c r="C25" s="206"/>
      <c r="D25" s="206"/>
      <c r="E25" s="206"/>
      <c r="F25" s="158" t="s">
        <v>195</v>
      </c>
      <c r="G25" s="158"/>
      <c r="H25" s="207" t="s">
        <v>518</v>
      </c>
      <c r="I25" s="207"/>
      <c r="J25" s="403"/>
    </row>
    <row r="26" spans="1:10" s="24" customFormat="1" ht="48" customHeight="1">
      <c r="A26" s="205" t="s">
        <v>490</v>
      </c>
      <c r="B26" s="206"/>
      <c r="C26" s="206"/>
      <c r="D26" s="206"/>
      <c r="E26" s="206"/>
      <c r="F26" s="158" t="s">
        <v>482</v>
      </c>
      <c r="G26" s="158"/>
      <c r="H26" s="158" t="s">
        <v>190</v>
      </c>
      <c r="I26" s="158"/>
      <c r="J26" s="344"/>
    </row>
    <row r="27" spans="1:10" s="24" customFormat="1" ht="48" customHeight="1">
      <c r="A27" s="205" t="s">
        <v>491</v>
      </c>
      <c r="B27" s="206"/>
      <c r="C27" s="206"/>
      <c r="D27" s="206"/>
      <c r="E27" s="206"/>
      <c r="F27" s="158" t="s">
        <v>499</v>
      </c>
      <c r="G27" s="158"/>
      <c r="H27" s="158" t="s">
        <v>190</v>
      </c>
      <c r="I27" s="158"/>
      <c r="J27" s="344"/>
    </row>
    <row r="28" spans="1:10" s="24" customFormat="1" ht="48" customHeight="1">
      <c r="A28" s="205" t="s">
        <v>492</v>
      </c>
      <c r="B28" s="206"/>
      <c r="C28" s="206"/>
      <c r="D28" s="206"/>
      <c r="E28" s="206"/>
      <c r="F28" s="158" t="s">
        <v>365</v>
      </c>
      <c r="G28" s="158"/>
      <c r="H28" s="207" t="s">
        <v>190</v>
      </c>
      <c r="I28" s="207"/>
      <c r="J28" s="403"/>
    </row>
    <row r="29" spans="1:10" s="24" customFormat="1" ht="48" customHeight="1">
      <c r="A29" s="205" t="s">
        <v>493</v>
      </c>
      <c r="B29" s="206"/>
      <c r="C29" s="206"/>
      <c r="D29" s="206"/>
      <c r="E29" s="206"/>
      <c r="F29" s="158" t="s">
        <v>488</v>
      </c>
      <c r="G29" s="158"/>
      <c r="H29" s="207" t="s">
        <v>190</v>
      </c>
      <c r="I29" s="207"/>
      <c r="J29" s="403"/>
    </row>
    <row r="30" spans="1:10" s="24" customFormat="1" ht="48" customHeight="1">
      <c r="A30" s="205" t="s">
        <v>494</v>
      </c>
      <c r="B30" s="206"/>
      <c r="C30" s="206"/>
      <c r="D30" s="206"/>
      <c r="E30" s="206"/>
      <c r="F30" s="158" t="s">
        <v>487</v>
      </c>
      <c r="G30" s="158"/>
      <c r="H30" s="207" t="s">
        <v>190</v>
      </c>
      <c r="I30" s="207"/>
      <c r="J30" s="403"/>
    </row>
    <row r="31" spans="1:10" s="24" customFormat="1" ht="48" customHeight="1">
      <c r="A31" s="205" t="s">
        <v>495</v>
      </c>
      <c r="B31" s="206"/>
      <c r="C31" s="206"/>
      <c r="D31" s="206"/>
      <c r="E31" s="206"/>
      <c r="F31" s="158" t="s">
        <v>483</v>
      </c>
      <c r="G31" s="158"/>
      <c r="H31" s="207" t="s">
        <v>190</v>
      </c>
      <c r="I31" s="207"/>
      <c r="J31" s="403"/>
    </row>
    <row r="32" spans="1:10" s="24" customFormat="1" ht="48" customHeight="1">
      <c r="A32" s="205" t="s">
        <v>496</v>
      </c>
      <c r="B32" s="206"/>
      <c r="C32" s="206"/>
      <c r="D32" s="206"/>
      <c r="E32" s="206"/>
      <c r="F32" s="158" t="s">
        <v>476</v>
      </c>
      <c r="G32" s="158"/>
      <c r="H32" s="207" t="s">
        <v>190</v>
      </c>
      <c r="I32" s="207"/>
      <c r="J32" s="403"/>
    </row>
    <row r="33" spans="1:12" s="24" customFormat="1" ht="48" customHeight="1">
      <c r="A33" s="205" t="s">
        <v>498</v>
      </c>
      <c r="B33" s="206"/>
      <c r="C33" s="206"/>
      <c r="D33" s="206"/>
      <c r="E33" s="206"/>
      <c r="F33" s="158" t="s">
        <v>516</v>
      </c>
      <c r="G33" s="158"/>
      <c r="H33" s="207" t="s">
        <v>190</v>
      </c>
      <c r="I33" s="207"/>
      <c r="J33" s="403"/>
    </row>
    <row r="34" spans="1:12" s="24" customFormat="1" ht="48" customHeight="1">
      <c r="A34" s="205" t="s">
        <v>497</v>
      </c>
      <c r="B34" s="206"/>
      <c r="C34" s="206"/>
      <c r="D34" s="206"/>
      <c r="E34" s="206"/>
      <c r="F34" s="158" t="s">
        <v>24</v>
      </c>
      <c r="G34" s="158"/>
      <c r="H34" s="207" t="s">
        <v>190</v>
      </c>
      <c r="I34" s="207"/>
      <c r="J34" s="403"/>
    </row>
    <row r="35" spans="1:12" s="24" customFormat="1" ht="79.150000000000006" customHeight="1">
      <c r="A35" s="516" t="s">
        <v>559</v>
      </c>
      <c r="B35" s="206"/>
      <c r="C35" s="206"/>
      <c r="D35" s="206"/>
      <c r="E35" s="206"/>
      <c r="F35" s="158" t="s">
        <v>517</v>
      </c>
      <c r="G35" s="158"/>
      <c r="H35" s="207" t="s">
        <v>190</v>
      </c>
      <c r="I35" s="207"/>
      <c r="J35" s="403"/>
    </row>
    <row r="36" spans="1:12" s="24" customFormat="1" ht="48" customHeight="1">
      <c r="A36" s="156" t="s">
        <v>570</v>
      </c>
      <c r="B36" s="157"/>
      <c r="C36" s="157"/>
      <c r="D36" s="157"/>
      <c r="E36" s="157"/>
      <c r="F36" s="158" t="s">
        <v>24</v>
      </c>
      <c r="G36" s="158"/>
      <c r="H36" s="158" t="s">
        <v>190</v>
      </c>
      <c r="I36" s="158"/>
      <c r="J36" s="344"/>
    </row>
    <row r="37" spans="1:12" s="24" customFormat="1" ht="45" customHeight="1">
      <c r="A37" s="203" t="s">
        <v>469</v>
      </c>
      <c r="B37" s="204"/>
      <c r="C37" s="204"/>
      <c r="D37" s="204"/>
      <c r="E37" s="204"/>
      <c r="F37" s="204"/>
      <c r="G37" s="204"/>
      <c r="H37" s="204"/>
      <c r="I37" s="204"/>
      <c r="J37" s="240"/>
      <c r="K37" s="94"/>
      <c r="L37" s="94"/>
    </row>
    <row r="38" spans="1:12" s="24" customFormat="1" ht="25.15" customHeight="1">
      <c r="A38" s="208" t="s">
        <v>100</v>
      </c>
      <c r="B38" s="209"/>
      <c r="C38" s="209"/>
      <c r="D38" s="209"/>
      <c r="E38" s="210"/>
      <c r="F38" s="211" t="s">
        <v>136</v>
      </c>
      <c r="G38" s="211"/>
      <c r="H38" s="212" t="s">
        <v>188</v>
      </c>
      <c r="I38" s="213"/>
      <c r="J38" s="402"/>
    </row>
    <row r="39" spans="1:12" s="24" customFormat="1" ht="48" customHeight="1">
      <c r="A39" s="156" t="s">
        <v>470</v>
      </c>
      <c r="B39" s="157"/>
      <c r="C39" s="157"/>
      <c r="D39" s="157"/>
      <c r="E39" s="157"/>
      <c r="F39" s="158" t="s">
        <v>24</v>
      </c>
      <c r="G39" s="158"/>
      <c r="H39" s="158" t="s">
        <v>471</v>
      </c>
      <c r="I39" s="158"/>
      <c r="J39" s="344"/>
    </row>
    <row r="40" spans="1:12" s="24" customFormat="1" ht="48" customHeight="1">
      <c r="A40" s="156" t="s">
        <v>145</v>
      </c>
      <c r="B40" s="157"/>
      <c r="C40" s="157"/>
      <c r="D40" s="157"/>
      <c r="E40" s="157"/>
      <c r="F40" s="158" t="s">
        <v>24</v>
      </c>
      <c r="G40" s="158"/>
      <c r="H40" s="158" t="s">
        <v>471</v>
      </c>
      <c r="I40" s="158"/>
      <c r="J40" s="344"/>
    </row>
    <row r="41" spans="1:12" ht="18" customHeight="1">
      <c r="A41" s="174" t="s">
        <v>229</v>
      </c>
      <c r="B41" s="175"/>
      <c r="C41" s="175"/>
      <c r="D41" s="175"/>
      <c r="E41" s="175"/>
      <c r="F41" s="175"/>
      <c r="G41" s="175"/>
      <c r="H41" s="175"/>
      <c r="I41" s="175"/>
      <c r="J41" s="176"/>
    </row>
    <row r="42" spans="1:12" ht="18">
      <c r="A42" s="181" t="s">
        <v>463</v>
      </c>
      <c r="B42" s="182"/>
      <c r="C42" s="182"/>
      <c r="D42" s="182"/>
      <c r="E42" s="182"/>
      <c r="F42" s="182"/>
      <c r="G42" s="182"/>
      <c r="H42" s="182"/>
      <c r="I42" s="183"/>
      <c r="J42" s="108" t="s">
        <v>174</v>
      </c>
    </row>
    <row r="43" spans="1:12" ht="18" customHeight="1">
      <c r="A43" s="165" t="s">
        <v>276</v>
      </c>
      <c r="B43" s="166"/>
      <c r="C43" s="166"/>
      <c r="D43" s="166"/>
      <c r="E43" s="166"/>
      <c r="F43" s="166"/>
      <c r="G43" s="166"/>
      <c r="H43" s="166"/>
      <c r="I43" s="167"/>
      <c r="J43" s="108" t="s">
        <v>174</v>
      </c>
    </row>
    <row r="44" spans="1:12" ht="18" customHeight="1">
      <c r="A44" s="165" t="s">
        <v>267</v>
      </c>
      <c r="B44" s="166"/>
      <c r="C44" s="166"/>
      <c r="D44" s="166"/>
      <c r="E44" s="166"/>
      <c r="F44" s="166"/>
      <c r="G44" s="166"/>
      <c r="H44" s="166"/>
      <c r="I44" s="167"/>
      <c r="J44" s="108" t="s">
        <v>174</v>
      </c>
    </row>
    <row r="45" spans="1:12" ht="15" customHeight="1">
      <c r="A45" s="165" t="s">
        <v>268</v>
      </c>
      <c r="B45" s="166"/>
      <c r="C45" s="166"/>
      <c r="D45" s="166"/>
      <c r="E45" s="166"/>
      <c r="F45" s="166"/>
      <c r="G45" s="166"/>
      <c r="H45" s="166"/>
      <c r="I45" s="167"/>
      <c r="J45" s="108" t="s">
        <v>174</v>
      </c>
    </row>
    <row r="46" spans="1:12" ht="18" customHeight="1">
      <c r="A46" s="165" t="s">
        <v>277</v>
      </c>
      <c r="B46" s="166"/>
      <c r="C46" s="166"/>
      <c r="D46" s="166"/>
      <c r="E46" s="166"/>
      <c r="F46" s="166"/>
      <c r="G46" s="166"/>
      <c r="H46" s="166"/>
      <c r="I46" s="167"/>
      <c r="J46" s="108" t="s">
        <v>174</v>
      </c>
    </row>
    <row r="47" spans="1:12" ht="15" customHeight="1">
      <c r="A47" s="165" t="s">
        <v>278</v>
      </c>
      <c r="B47" s="166"/>
      <c r="C47" s="166"/>
      <c r="D47" s="166"/>
      <c r="E47" s="166"/>
      <c r="F47" s="166"/>
      <c r="G47" s="166"/>
      <c r="H47" s="166"/>
      <c r="I47" s="167"/>
      <c r="J47" s="108" t="s">
        <v>174</v>
      </c>
    </row>
    <row r="48" spans="1:12" ht="15" customHeight="1">
      <c r="A48" s="165" t="s">
        <v>271</v>
      </c>
      <c r="B48" s="166"/>
      <c r="C48" s="166"/>
      <c r="D48" s="166"/>
      <c r="E48" s="166"/>
      <c r="F48" s="166"/>
      <c r="G48" s="166"/>
      <c r="H48" s="166"/>
      <c r="I48" s="167"/>
      <c r="J48" s="108" t="s">
        <v>174</v>
      </c>
    </row>
    <row r="49" spans="1:10" ht="15" customHeight="1">
      <c r="A49" s="165" t="s">
        <v>272</v>
      </c>
      <c r="B49" s="166"/>
      <c r="C49" s="166"/>
      <c r="D49" s="166"/>
      <c r="E49" s="166"/>
      <c r="F49" s="166"/>
      <c r="G49" s="166"/>
      <c r="H49" s="166"/>
      <c r="I49" s="167"/>
      <c r="J49" s="108" t="s">
        <v>174</v>
      </c>
    </row>
    <row r="50" spans="1:10" ht="22.9" customHeight="1">
      <c r="A50" s="165" t="s">
        <v>556</v>
      </c>
      <c r="B50" s="166"/>
      <c r="C50" s="166"/>
      <c r="D50" s="166"/>
      <c r="E50" s="166"/>
      <c r="F50" s="166"/>
      <c r="G50" s="166"/>
      <c r="H50" s="166"/>
      <c r="I50" s="167"/>
      <c r="J50" s="108" t="s">
        <v>174</v>
      </c>
    </row>
    <row r="51" spans="1:10" ht="23.45" customHeight="1">
      <c r="A51" s="165" t="s">
        <v>242</v>
      </c>
      <c r="B51" s="166"/>
      <c r="C51" s="166"/>
      <c r="D51" s="166"/>
      <c r="E51" s="166"/>
      <c r="F51" s="166"/>
      <c r="G51" s="166"/>
      <c r="H51" s="166"/>
      <c r="I51" s="167"/>
      <c r="J51" s="121" t="s">
        <v>174</v>
      </c>
    </row>
    <row r="52" spans="1:10" ht="18">
      <c r="A52" s="177" t="s">
        <v>279</v>
      </c>
      <c r="B52" s="178"/>
      <c r="C52" s="178"/>
      <c r="D52" s="178"/>
      <c r="E52" s="178"/>
      <c r="F52" s="178"/>
      <c r="G52" s="178"/>
      <c r="H52" s="178"/>
      <c r="I52" s="179"/>
      <c r="J52" s="114" t="s">
        <v>174</v>
      </c>
    </row>
    <row r="53" spans="1:10" ht="52.9" customHeight="1">
      <c r="A53" s="165" t="s">
        <v>280</v>
      </c>
      <c r="B53" s="166"/>
      <c r="C53" s="166"/>
      <c r="D53" s="166"/>
      <c r="E53" s="166"/>
      <c r="F53" s="166"/>
      <c r="G53" s="166"/>
      <c r="H53" s="166"/>
      <c r="I53" s="166"/>
      <c r="J53" s="180"/>
    </row>
    <row r="54" spans="1:10" ht="15" customHeight="1">
      <c r="A54" s="368" t="s">
        <v>171</v>
      </c>
      <c r="B54" s="369"/>
      <c r="C54" s="369"/>
      <c r="D54" s="369"/>
      <c r="E54" s="369"/>
      <c r="F54" s="369"/>
      <c r="G54" s="369"/>
      <c r="H54" s="369"/>
      <c r="I54" s="369"/>
      <c r="J54" s="370"/>
    </row>
    <row r="55" spans="1:10" ht="85.15" customHeight="1">
      <c r="A55" s="171" t="s">
        <v>232</v>
      </c>
      <c r="B55" s="172"/>
      <c r="C55" s="172"/>
      <c r="D55" s="172"/>
      <c r="E55" s="172"/>
      <c r="F55" s="172"/>
      <c r="G55" s="172"/>
      <c r="H55" s="172"/>
      <c r="I55" s="172"/>
      <c r="J55" s="173"/>
    </row>
    <row r="56" spans="1:10">
      <c r="A56" s="166"/>
      <c r="B56" s="166"/>
      <c r="C56" s="166"/>
      <c r="D56" s="166"/>
      <c r="E56" s="166"/>
      <c r="F56" s="166"/>
      <c r="G56" s="166"/>
      <c r="H56" s="166"/>
      <c r="I56" s="166"/>
      <c r="J56" s="166"/>
    </row>
    <row r="57" spans="1:10" ht="15" customHeight="1"/>
  </sheetData>
  <mergeCells count="119">
    <mergeCell ref="F20:G20"/>
    <mergeCell ref="H20:J20"/>
    <mergeCell ref="A37:J37"/>
    <mergeCell ref="A38:E38"/>
    <mergeCell ref="F38:G38"/>
    <mergeCell ref="H38:J38"/>
    <mergeCell ref="A39:E39"/>
    <mergeCell ref="F39:G39"/>
    <mergeCell ref="H39:J39"/>
    <mergeCell ref="H27:J27"/>
    <mergeCell ref="A12:J12"/>
    <mergeCell ref="A13:E13"/>
    <mergeCell ref="F13:G13"/>
    <mergeCell ref="H13:J13"/>
    <mergeCell ref="A14:E14"/>
    <mergeCell ref="F14:G14"/>
    <mergeCell ref="H14:J14"/>
    <mergeCell ref="A16:E16"/>
    <mergeCell ref="F16:G16"/>
    <mergeCell ref="H16:J16"/>
    <mergeCell ref="A15:E15"/>
    <mergeCell ref="F15:G15"/>
    <mergeCell ref="H15:J15"/>
    <mergeCell ref="A18:E18"/>
    <mergeCell ref="F18:G18"/>
    <mergeCell ref="H18:J18"/>
    <mergeCell ref="A19:E19"/>
    <mergeCell ref="F19:G19"/>
    <mergeCell ref="H19:J19"/>
    <mergeCell ref="A21:E21"/>
    <mergeCell ref="F21:G21"/>
    <mergeCell ref="H21:J21"/>
    <mergeCell ref="A20:E20"/>
    <mergeCell ref="A10:E10"/>
    <mergeCell ref="F10:J10"/>
    <mergeCell ref="A11:E11"/>
    <mergeCell ref="F11:J11"/>
    <mergeCell ref="A32:E32"/>
    <mergeCell ref="F32:G32"/>
    <mergeCell ref="H32:J32"/>
    <mergeCell ref="A23:E23"/>
    <mergeCell ref="F23:G23"/>
    <mergeCell ref="H23:J23"/>
    <mergeCell ref="A25:E25"/>
    <mergeCell ref="F26:G26"/>
    <mergeCell ref="F27:G27"/>
    <mergeCell ref="F24:G24"/>
    <mergeCell ref="F25:G25"/>
    <mergeCell ref="H25:J25"/>
    <mergeCell ref="A24:E24"/>
    <mergeCell ref="A28:E28"/>
    <mergeCell ref="H28:J28"/>
    <mergeCell ref="F28:G28"/>
    <mergeCell ref="A26:E26"/>
    <mergeCell ref="H26:J26"/>
    <mergeCell ref="H24:J24"/>
    <mergeCell ref="A27:E27"/>
    <mergeCell ref="A56:J56"/>
    <mergeCell ref="A47:I47"/>
    <mergeCell ref="A48:I48"/>
    <mergeCell ref="A52:I52"/>
    <mergeCell ref="A49:I49"/>
    <mergeCell ref="A53:J53"/>
    <mergeCell ref="A54:J54"/>
    <mergeCell ref="A55:J55"/>
    <mergeCell ref="A1:J1"/>
    <mergeCell ref="A2:C2"/>
    <mergeCell ref="A3:J3"/>
    <mergeCell ref="A4:E4"/>
    <mergeCell ref="F4:J4"/>
    <mergeCell ref="D2:J2"/>
    <mergeCell ref="A5:E5"/>
    <mergeCell ref="F5:J5"/>
    <mergeCell ref="A6:E6"/>
    <mergeCell ref="F6:J6"/>
    <mergeCell ref="A7:E7"/>
    <mergeCell ref="F7:J7"/>
    <mergeCell ref="A8:E8"/>
    <mergeCell ref="F8:J8"/>
    <mergeCell ref="A9:E9"/>
    <mergeCell ref="F9:J9"/>
    <mergeCell ref="F34:G34"/>
    <mergeCell ref="A29:E29"/>
    <mergeCell ref="F29:G29"/>
    <mergeCell ref="H29:J29"/>
    <mergeCell ref="A41:J41"/>
    <mergeCell ref="A42:I42"/>
    <mergeCell ref="A51:I51"/>
    <mergeCell ref="A43:I43"/>
    <mergeCell ref="A45:I45"/>
    <mergeCell ref="A46:I46"/>
    <mergeCell ref="A44:I44"/>
    <mergeCell ref="A40:E40"/>
    <mergeCell ref="F40:G40"/>
    <mergeCell ref="H40:J40"/>
    <mergeCell ref="A17:E17"/>
    <mergeCell ref="A50:I50"/>
    <mergeCell ref="A36:E36"/>
    <mergeCell ref="F36:G36"/>
    <mergeCell ref="H36:J36"/>
    <mergeCell ref="F17:G17"/>
    <mergeCell ref="H17:J17"/>
    <mergeCell ref="A35:E35"/>
    <mergeCell ref="F35:G35"/>
    <mergeCell ref="H35:J35"/>
    <mergeCell ref="A22:E22"/>
    <mergeCell ref="F22:G22"/>
    <mergeCell ref="H22:J22"/>
    <mergeCell ref="A33:E33"/>
    <mergeCell ref="F33:G33"/>
    <mergeCell ref="H33:J33"/>
    <mergeCell ref="A30:E30"/>
    <mergeCell ref="F30:G30"/>
    <mergeCell ref="H30:J30"/>
    <mergeCell ref="A31:E31"/>
    <mergeCell ref="F31:G31"/>
    <mergeCell ref="H31:J31"/>
    <mergeCell ref="A34:E34"/>
    <mergeCell ref="H34:J34"/>
  </mergeCells>
  <phoneticPr fontId="25" type="noConversion"/>
  <pageMargins left="0.65833333333333333" right="0.59166666666666667" top="0.96666666666666667" bottom="1.0333333333333334" header="0.3" footer="0.3"/>
  <pageSetup paperSize="9" scale="67" fitToHeight="0" orientation="portrait" r:id="rId1"/>
  <headerFooter>
    <oddHeader xml:space="preserve">&amp;L&amp;G&amp;C&amp;"Montserrat,Bold"&amp;12&amp;K00B4E4Deployment  Review&amp;R&amp;"Montserrat,Bold"&amp;12&amp;K00B4E4Project Phase Review </oddHeader>
    <oddFooter>&amp;L&amp;"Montserrat,Regular"&amp;10&amp;K333333MOD-PPR.1&amp;KEA8651
Document code &amp;C&amp;"Montserrat,Regular"&amp;10&amp;K333333***CONFIDENTIAL***&amp;R&amp;"Montserrat,Regular"&amp;10&amp;K333333Page &amp;P of &amp;N</oddFooter>
  </headerFooter>
  <rowBreaks count="2" manualBreakCount="2">
    <brk id="23" max="9" man="1"/>
    <brk id="40" max="9" man="1"/>
  </rowBreaks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568D01C-1E53-4D43-9982-EF715AFA7A59}">
          <x14:formula1>
            <xm:f>'Input for Excel'!$B$7:$B$8</xm:f>
          </x14:formula1>
          <xm:sqref>J42 J51:J52</xm:sqref>
        </x14:dataValidation>
        <x14:dataValidation type="list" allowBlank="1" showInputMessage="1" showErrorMessage="1" xr:uid="{8978D203-6B7B-4226-A86D-F870155C6F22}">
          <x14:formula1>
            <xm:f>'Input for Excel'!$B$7:$B$9</xm:f>
          </x14:formula1>
          <xm:sqref>J43:J50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C15D5-A30C-4A78-9EA9-BB8F4A238E28}">
  <sheetPr>
    <pageSetUpPr fitToPage="1"/>
  </sheetPr>
  <dimension ref="A1:L29"/>
  <sheetViews>
    <sheetView showGridLines="0" view="pageLayout" topLeftCell="A3" zoomScale="85" zoomScaleNormal="100" zoomScalePageLayoutView="85" workbookViewId="0">
      <selection activeCell="A22" sqref="A22:I22"/>
    </sheetView>
  </sheetViews>
  <sheetFormatPr defaultColWidth="8.85546875" defaultRowHeight="15"/>
  <cols>
    <col min="1" max="10" width="13.28515625" style="1" customWidth="1"/>
    <col min="11" max="11" width="8.85546875" style="1"/>
    <col min="12" max="12" width="29.28515625" style="1" customWidth="1"/>
    <col min="13" max="16384" width="8.85546875" style="1"/>
  </cols>
  <sheetData>
    <row r="1" spans="1:12" ht="30" customHeight="1">
      <c r="A1" s="189" t="s">
        <v>281</v>
      </c>
      <c r="B1" s="190"/>
      <c r="C1" s="190"/>
      <c r="D1" s="190"/>
      <c r="E1" s="190"/>
      <c r="F1" s="190"/>
      <c r="G1" s="190"/>
      <c r="H1" s="190"/>
      <c r="I1" s="190"/>
      <c r="J1" s="191"/>
    </row>
    <row r="2" spans="1:12" ht="18">
      <c r="A2" s="192" t="s">
        <v>112</v>
      </c>
      <c r="B2" s="193"/>
      <c r="C2" s="193"/>
      <c r="D2" s="194" t="s">
        <v>113</v>
      </c>
      <c r="E2" s="195"/>
      <c r="F2" s="195"/>
      <c r="G2" s="195"/>
      <c r="H2" s="195"/>
      <c r="I2" s="195"/>
      <c r="J2" s="196"/>
    </row>
    <row r="3" spans="1:12" ht="25.9" customHeight="1">
      <c r="A3" s="197" t="s">
        <v>114</v>
      </c>
      <c r="B3" s="198"/>
      <c r="C3" s="198"/>
      <c r="D3" s="198"/>
      <c r="E3" s="198"/>
      <c r="F3" s="198"/>
      <c r="G3" s="198"/>
      <c r="H3" s="198"/>
      <c r="I3" s="198"/>
      <c r="J3" s="199"/>
    </row>
    <row r="4" spans="1:12" ht="21" customHeight="1">
      <c r="A4" s="200" t="s">
        <v>115</v>
      </c>
      <c r="B4" s="201"/>
      <c r="C4" s="201"/>
      <c r="D4" s="201"/>
      <c r="E4" s="201"/>
      <c r="F4" s="201" t="s">
        <v>116</v>
      </c>
      <c r="G4" s="201"/>
      <c r="H4" s="201"/>
      <c r="I4" s="201"/>
      <c r="J4" s="202"/>
    </row>
    <row r="5" spans="1:12" ht="18">
      <c r="A5" s="184"/>
      <c r="B5" s="185"/>
      <c r="C5" s="185"/>
      <c r="D5" s="185"/>
      <c r="E5" s="186"/>
      <c r="F5" s="187"/>
      <c r="G5" s="185"/>
      <c r="H5" s="185"/>
      <c r="I5" s="185"/>
      <c r="J5" s="188"/>
    </row>
    <row r="6" spans="1:12" ht="18">
      <c r="A6" s="184"/>
      <c r="B6" s="185"/>
      <c r="C6" s="185"/>
      <c r="D6" s="185"/>
      <c r="E6" s="186"/>
      <c r="F6" s="187"/>
      <c r="G6" s="185"/>
      <c r="H6" s="185"/>
      <c r="I6" s="185"/>
      <c r="J6" s="188"/>
    </row>
    <row r="7" spans="1:12" ht="18">
      <c r="A7" s="184"/>
      <c r="B7" s="185"/>
      <c r="C7" s="185"/>
      <c r="D7" s="185"/>
      <c r="E7" s="186"/>
      <c r="F7" s="187"/>
      <c r="G7" s="185"/>
      <c r="H7" s="185"/>
      <c r="I7" s="185"/>
      <c r="J7" s="188"/>
    </row>
    <row r="8" spans="1:12" ht="18">
      <c r="A8" s="184"/>
      <c r="B8" s="185"/>
      <c r="C8" s="185"/>
      <c r="D8" s="185"/>
      <c r="E8" s="186"/>
      <c r="F8" s="187"/>
      <c r="G8" s="185"/>
      <c r="H8" s="185"/>
      <c r="I8" s="185"/>
      <c r="J8" s="188"/>
    </row>
    <row r="9" spans="1:12" ht="18">
      <c r="A9" s="184"/>
      <c r="B9" s="185"/>
      <c r="C9" s="185"/>
      <c r="D9" s="185"/>
      <c r="E9" s="186"/>
      <c r="F9" s="187"/>
      <c r="G9" s="185"/>
      <c r="H9" s="185"/>
      <c r="I9" s="185"/>
      <c r="J9" s="188"/>
    </row>
    <row r="10" spans="1:12" ht="18">
      <c r="A10" s="184"/>
      <c r="B10" s="185"/>
      <c r="C10" s="185"/>
      <c r="D10" s="185"/>
      <c r="E10" s="186"/>
      <c r="F10" s="187"/>
      <c r="G10" s="185"/>
      <c r="H10" s="185"/>
      <c r="I10" s="185"/>
      <c r="J10" s="188"/>
    </row>
    <row r="11" spans="1:12" ht="57.6" customHeight="1">
      <c r="A11" s="159" t="s">
        <v>118</v>
      </c>
      <c r="B11" s="160"/>
      <c r="C11" s="160"/>
      <c r="D11" s="160"/>
      <c r="E11" s="161"/>
      <c r="F11" s="162" t="s">
        <v>119</v>
      </c>
      <c r="G11" s="163"/>
      <c r="H11" s="163"/>
      <c r="I11" s="163"/>
      <c r="J11" s="164"/>
    </row>
    <row r="12" spans="1:12" s="24" customFormat="1" ht="35.450000000000003" customHeight="1">
      <c r="A12" s="203" t="s">
        <v>135</v>
      </c>
      <c r="B12" s="204"/>
      <c r="C12" s="204"/>
      <c r="D12" s="204"/>
      <c r="E12" s="204"/>
      <c r="F12" s="204"/>
      <c r="G12" s="204"/>
      <c r="H12" s="204"/>
      <c r="I12" s="204"/>
      <c r="J12" s="204"/>
      <c r="K12" s="94"/>
      <c r="L12" s="94"/>
    </row>
    <row r="13" spans="1:12" s="24" customFormat="1" ht="25.15" customHeight="1">
      <c r="A13" s="208" t="s">
        <v>100</v>
      </c>
      <c r="B13" s="209"/>
      <c r="C13" s="209"/>
      <c r="D13" s="209"/>
      <c r="E13" s="210"/>
      <c r="F13" s="211" t="s">
        <v>136</v>
      </c>
      <c r="G13" s="211"/>
      <c r="H13" s="212" t="s">
        <v>188</v>
      </c>
      <c r="I13" s="213"/>
      <c r="J13" s="213"/>
    </row>
    <row r="14" spans="1:12" s="24" customFormat="1" ht="48" customHeight="1">
      <c r="A14" s="205" t="s">
        <v>522</v>
      </c>
      <c r="B14" s="206"/>
      <c r="C14" s="206"/>
      <c r="D14" s="206"/>
      <c r="E14" s="206"/>
      <c r="F14" s="158" t="s">
        <v>24</v>
      </c>
      <c r="G14" s="158"/>
      <c r="H14" s="207" t="s">
        <v>190</v>
      </c>
      <c r="I14" s="207"/>
      <c r="J14" s="207"/>
    </row>
    <row r="15" spans="1:12" s="24" customFormat="1" ht="48" customHeight="1">
      <c r="A15" s="205" t="s">
        <v>478</v>
      </c>
      <c r="B15" s="206"/>
      <c r="C15" s="206"/>
      <c r="D15" s="206"/>
      <c r="E15" s="206"/>
      <c r="F15" s="158" t="s">
        <v>24</v>
      </c>
      <c r="G15" s="158"/>
      <c r="H15" s="207" t="s">
        <v>190</v>
      </c>
      <c r="I15" s="207"/>
      <c r="J15" s="207"/>
    </row>
    <row r="16" spans="1:12" s="24" customFormat="1" ht="48" customHeight="1">
      <c r="A16" s="205" t="s">
        <v>479</v>
      </c>
      <c r="B16" s="206"/>
      <c r="C16" s="206"/>
      <c r="D16" s="206"/>
      <c r="E16" s="206"/>
      <c r="F16" s="158" t="s">
        <v>24</v>
      </c>
      <c r="G16" s="158"/>
      <c r="H16" s="207" t="s">
        <v>190</v>
      </c>
      <c r="I16" s="207"/>
      <c r="J16" s="207"/>
    </row>
    <row r="17" spans="1:10" s="24" customFormat="1" ht="48" customHeight="1">
      <c r="A17" s="156" t="s">
        <v>570</v>
      </c>
      <c r="B17" s="157"/>
      <c r="C17" s="157"/>
      <c r="D17" s="157"/>
      <c r="E17" s="157"/>
      <c r="F17" s="158" t="s">
        <v>24</v>
      </c>
      <c r="G17" s="158"/>
      <c r="H17" s="158" t="s">
        <v>190</v>
      </c>
      <c r="I17" s="158"/>
      <c r="J17" s="158"/>
    </row>
    <row r="18" spans="1:10" ht="18" customHeight="1">
      <c r="A18" s="174" t="s">
        <v>229</v>
      </c>
      <c r="B18" s="175"/>
      <c r="C18" s="175"/>
      <c r="D18" s="175"/>
      <c r="E18" s="175"/>
      <c r="F18" s="175"/>
      <c r="G18" s="175"/>
      <c r="H18" s="175"/>
      <c r="I18" s="175"/>
      <c r="J18" s="176"/>
    </row>
    <row r="19" spans="1:10" ht="18">
      <c r="A19" s="181" t="s">
        <v>502</v>
      </c>
      <c r="B19" s="182"/>
      <c r="C19" s="182"/>
      <c r="D19" s="182"/>
      <c r="E19" s="182"/>
      <c r="F19" s="182"/>
      <c r="G19" s="182"/>
      <c r="H19" s="182"/>
      <c r="I19" s="183"/>
      <c r="J19" s="121" t="s">
        <v>174</v>
      </c>
    </row>
    <row r="20" spans="1:10" ht="18">
      <c r="A20" s="165" t="s">
        <v>466</v>
      </c>
      <c r="B20" s="166"/>
      <c r="C20" s="166"/>
      <c r="D20" s="166"/>
      <c r="E20" s="166"/>
      <c r="F20" s="166"/>
      <c r="G20" s="166"/>
      <c r="H20" s="166"/>
      <c r="I20" s="167"/>
      <c r="J20" s="121" t="s">
        <v>174</v>
      </c>
    </row>
    <row r="21" spans="1:10" ht="18">
      <c r="A21" s="165" t="s">
        <v>521</v>
      </c>
      <c r="B21" s="166"/>
      <c r="C21" s="166"/>
      <c r="D21" s="166"/>
      <c r="E21" s="166"/>
      <c r="F21" s="166"/>
      <c r="G21" s="166"/>
      <c r="H21" s="166"/>
      <c r="I21" s="167"/>
      <c r="J21" s="121" t="s">
        <v>174</v>
      </c>
    </row>
    <row r="22" spans="1:10" ht="18">
      <c r="A22" s="165" t="s">
        <v>520</v>
      </c>
      <c r="B22" s="166"/>
      <c r="C22" s="166"/>
      <c r="D22" s="166"/>
      <c r="E22" s="166"/>
      <c r="F22" s="166"/>
      <c r="G22" s="166"/>
      <c r="H22" s="166"/>
      <c r="I22" s="167"/>
      <c r="J22" s="121" t="s">
        <v>174</v>
      </c>
    </row>
    <row r="23" spans="1:10" ht="18">
      <c r="A23" s="165" t="s">
        <v>467</v>
      </c>
      <c r="B23" s="166"/>
      <c r="C23" s="166"/>
      <c r="D23" s="166"/>
      <c r="E23" s="166"/>
      <c r="F23" s="166"/>
      <c r="G23" s="166"/>
      <c r="H23" s="166"/>
      <c r="I23" s="167"/>
      <c r="J23" s="121" t="s">
        <v>174</v>
      </c>
    </row>
    <row r="24" spans="1:10" ht="18">
      <c r="A24" s="177" t="s">
        <v>468</v>
      </c>
      <c r="B24" s="178"/>
      <c r="C24" s="178"/>
      <c r="D24" s="178"/>
      <c r="E24" s="178"/>
      <c r="F24" s="178"/>
      <c r="G24" s="178"/>
      <c r="H24" s="178"/>
      <c r="I24" s="179"/>
      <c r="J24" s="114" t="s">
        <v>174</v>
      </c>
    </row>
    <row r="25" spans="1:10" ht="27" customHeight="1">
      <c r="A25" s="165" t="s">
        <v>501</v>
      </c>
      <c r="B25" s="166"/>
      <c r="C25" s="166"/>
      <c r="D25" s="166"/>
      <c r="E25" s="166"/>
      <c r="F25" s="166"/>
      <c r="G25" s="166"/>
      <c r="H25" s="166"/>
      <c r="I25" s="166"/>
      <c r="J25" s="180"/>
    </row>
    <row r="26" spans="1:10" ht="15" customHeight="1">
      <c r="A26" s="168" t="s">
        <v>171</v>
      </c>
      <c r="B26" s="169"/>
      <c r="C26" s="169"/>
      <c r="D26" s="169"/>
      <c r="E26" s="169"/>
      <c r="F26" s="169"/>
      <c r="G26" s="169"/>
      <c r="H26" s="169"/>
      <c r="I26" s="169"/>
      <c r="J26" s="170"/>
    </row>
    <row r="27" spans="1:10" ht="85.15" customHeight="1">
      <c r="A27" s="171" t="s">
        <v>275</v>
      </c>
      <c r="B27" s="172"/>
      <c r="C27" s="172"/>
      <c r="D27" s="172"/>
      <c r="E27" s="172"/>
      <c r="F27" s="172"/>
      <c r="G27" s="172"/>
      <c r="H27" s="172"/>
      <c r="I27" s="172"/>
      <c r="J27" s="173"/>
    </row>
    <row r="28" spans="1:10" ht="24" customHeight="1">
      <c r="A28" s="151" t="s">
        <v>567</v>
      </c>
      <c r="B28" s="152"/>
      <c r="C28" s="153"/>
      <c r="D28" s="154" t="s">
        <v>568</v>
      </c>
      <c r="E28" s="154"/>
      <c r="F28" s="154"/>
      <c r="G28" s="154"/>
      <c r="H28" s="154"/>
      <c r="I28" s="154"/>
      <c r="J28" s="155"/>
    </row>
    <row r="29" spans="1:10" ht="15" customHeight="1"/>
  </sheetData>
  <mergeCells count="48">
    <mergeCell ref="A13:E13"/>
    <mergeCell ref="F13:G13"/>
    <mergeCell ref="H13:J13"/>
    <mergeCell ref="A21:I21"/>
    <mergeCell ref="H14:J14"/>
    <mergeCell ref="A22:I22"/>
    <mergeCell ref="A15:E15"/>
    <mergeCell ref="F15:G15"/>
    <mergeCell ref="H15:J15"/>
    <mergeCell ref="A1:J1"/>
    <mergeCell ref="A2:C2"/>
    <mergeCell ref="D2:J2"/>
    <mergeCell ref="A3:J3"/>
    <mergeCell ref="A4:E4"/>
    <mergeCell ref="F4:J4"/>
    <mergeCell ref="A5:E5"/>
    <mergeCell ref="F5:J5"/>
    <mergeCell ref="A6:E6"/>
    <mergeCell ref="F6:J6"/>
    <mergeCell ref="A7:E7"/>
    <mergeCell ref="F7:J7"/>
    <mergeCell ref="A8:E8"/>
    <mergeCell ref="F8:J8"/>
    <mergeCell ref="A9:E9"/>
    <mergeCell ref="F9:J9"/>
    <mergeCell ref="A10:E10"/>
    <mergeCell ref="F10:J10"/>
    <mergeCell ref="A11:E11"/>
    <mergeCell ref="F11:J11"/>
    <mergeCell ref="A20:I20"/>
    <mergeCell ref="A26:J26"/>
    <mergeCell ref="A27:J27"/>
    <mergeCell ref="A18:J18"/>
    <mergeCell ref="A23:I23"/>
    <mergeCell ref="A24:I24"/>
    <mergeCell ref="A25:J25"/>
    <mergeCell ref="A19:I19"/>
    <mergeCell ref="A12:J12"/>
    <mergeCell ref="A16:E16"/>
    <mergeCell ref="F16:G16"/>
    <mergeCell ref="H16:J16"/>
    <mergeCell ref="A14:E14"/>
    <mergeCell ref="F14:G14"/>
    <mergeCell ref="A28:C28"/>
    <mergeCell ref="D28:J28"/>
    <mergeCell ref="A17:E17"/>
    <mergeCell ref="F17:G17"/>
    <mergeCell ref="H17:J17"/>
  </mergeCells>
  <pageMargins left="0.65833333333333333" right="0.59166666666666667" top="0.96666666666666667" bottom="1.0333333333333334" header="0.3" footer="0.3"/>
  <pageSetup paperSize="9" scale="67" fitToHeight="0" orientation="portrait" r:id="rId1"/>
  <headerFooter>
    <oddHeader xml:space="preserve">&amp;L&amp;G&amp;C&amp;"Montserrat,Bold"&amp;12&amp;K00B4E4Release to Market Review&amp;R&amp;"Montserrat,Bold"&amp;12&amp;K00B4E4Project Phase Review </oddHeader>
    <oddFooter>&amp;L&amp;"Montserrat,Regular"&amp;10&amp;K333333MOD-PPR.1&amp;KEA8651
Document code &amp;C&amp;"Montserrat,Regular"&amp;10&amp;K333333***CONFIDENTIAL***&amp;R&amp;"Montserrat,Regular"&amp;10&amp;K333333Page &amp;P of &amp;N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804E38B3-4C8A-4849-952C-01F596069785}">
          <x14:formula1>
            <xm:f>'Input for Excel'!$B$7:$B$9</xm:f>
          </x14:formula1>
          <xm:sqref>J19:J23</xm:sqref>
        </x14:dataValidation>
        <x14:dataValidation type="list" allowBlank="1" showInputMessage="1" showErrorMessage="1" xr:uid="{95D651B7-8396-4E1B-AB1D-00838C639BBD}">
          <x14:formula1>
            <xm:f>'Input for Excel'!$B$7:$B$8</xm:f>
          </x14:formula1>
          <xm:sqref>J24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3380-8912-4635-AE22-BE4635310C49}">
  <sheetPr>
    <pageSetUpPr fitToPage="1"/>
  </sheetPr>
  <dimension ref="A1:I5"/>
  <sheetViews>
    <sheetView showGridLines="0" view="pageLayout" zoomScale="87" zoomScaleNormal="100" zoomScalePageLayoutView="87" workbookViewId="0">
      <selection activeCell="H10" sqref="H10"/>
    </sheetView>
  </sheetViews>
  <sheetFormatPr defaultColWidth="8.85546875" defaultRowHeight="15"/>
  <cols>
    <col min="1" max="2" width="13.28515625" style="1" customWidth="1"/>
    <col min="3" max="3" width="17.5703125" style="1" customWidth="1"/>
    <col min="4" max="4" width="27.5703125" style="1" customWidth="1"/>
    <col min="5" max="5" width="13.28515625" style="1" customWidth="1"/>
    <col min="6" max="6" width="21.28515625" style="1" customWidth="1"/>
    <col min="7" max="8" width="22.42578125" style="1" customWidth="1"/>
    <col min="9" max="9" width="53.28515625" style="1" customWidth="1"/>
    <col min="10" max="16384" width="8.85546875" style="1"/>
  </cols>
  <sheetData>
    <row r="1" spans="1:9" ht="30" customHeight="1">
      <c r="A1" s="522" t="s">
        <v>282</v>
      </c>
      <c r="B1" s="522"/>
      <c r="C1" s="522"/>
      <c r="D1" s="522"/>
      <c r="E1" s="522"/>
      <c r="F1" s="522"/>
      <c r="G1" s="522"/>
      <c r="H1" s="522"/>
      <c r="I1" s="522"/>
    </row>
    <row r="2" spans="1:9" ht="18" customHeight="1">
      <c r="A2" s="68" t="s">
        <v>283</v>
      </c>
      <c r="B2" s="69" t="s">
        <v>284</v>
      </c>
      <c r="C2" s="70" t="s">
        <v>285</v>
      </c>
      <c r="D2" s="71" t="s">
        <v>142</v>
      </c>
      <c r="E2" s="70" t="s">
        <v>286</v>
      </c>
      <c r="F2" s="70" t="s">
        <v>287</v>
      </c>
      <c r="G2" s="69" t="s">
        <v>144</v>
      </c>
      <c r="H2" s="70" t="s">
        <v>288</v>
      </c>
      <c r="I2" s="69" t="s">
        <v>289</v>
      </c>
    </row>
    <row r="3" spans="1:9" ht="112.5">
      <c r="A3" s="72" t="s">
        <v>290</v>
      </c>
      <c r="B3" s="73" t="s">
        <v>291</v>
      </c>
      <c r="C3" s="73" t="s">
        <v>292</v>
      </c>
      <c r="D3" s="73" t="s">
        <v>293</v>
      </c>
      <c r="E3" s="73" t="s">
        <v>294</v>
      </c>
      <c r="F3" s="74" t="s">
        <v>295</v>
      </c>
      <c r="G3" s="73" t="s">
        <v>296</v>
      </c>
      <c r="H3" s="75" t="s">
        <v>297</v>
      </c>
      <c r="I3" s="75" t="s">
        <v>298</v>
      </c>
    </row>
    <row r="4" spans="1:9">
      <c r="A4" s="76"/>
      <c r="B4" s="76"/>
      <c r="C4" s="76"/>
      <c r="D4" s="76"/>
      <c r="E4" s="76"/>
      <c r="F4" s="76"/>
      <c r="G4" s="76"/>
      <c r="H4" s="76"/>
      <c r="I4" s="76"/>
    </row>
    <row r="5" spans="1:9">
      <c r="A5" s="18"/>
      <c r="B5" s="18"/>
      <c r="C5" s="18"/>
      <c r="D5" s="18"/>
      <c r="E5" s="18"/>
      <c r="F5" s="18"/>
      <c r="G5" s="18"/>
      <c r="H5" s="18"/>
      <c r="I5" s="18"/>
    </row>
  </sheetData>
  <mergeCells count="1">
    <mergeCell ref="A1:I1"/>
  </mergeCells>
  <pageMargins left="0.65833333333333333" right="0.59166666666666667" top="0.96666666666666667" bottom="1.0333333333333334" header="0.3" footer="0.3"/>
  <pageSetup paperSize="9" scale="43" orientation="portrait" r:id="rId1"/>
  <headerFooter>
    <oddHeader>&amp;L&amp;G&amp;C&amp;"Montserrat,Bold"&amp;12&amp;K00B4E4Action Items&amp;R&amp;"Montserrat,Bold"&amp;12&amp;K00B4E4Project Phase Review</oddHeader>
    <oddFooter>&amp;L&amp;"Montserrat,Regular"&amp;10MOD-PPR.1
&amp;KEA8651Document code &amp;C&amp;"Montserrat,Regular"&amp;10&amp;K333333***CONFIDENTIAL***&amp;R&amp;"Montserrat,Regular"&amp;10&amp;K333333Page &amp;P of &amp;N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6EB9C-8C66-407E-926A-6BA570571316}">
  <dimension ref="A2:C18"/>
  <sheetViews>
    <sheetView workbookViewId="0">
      <selection activeCell="L15" sqref="L15"/>
    </sheetView>
  </sheetViews>
  <sheetFormatPr defaultRowHeight="15"/>
  <cols>
    <col min="1" max="1" width="10.7109375" bestFit="1" customWidth="1"/>
    <col min="2" max="2" width="21.7109375" bestFit="1" customWidth="1"/>
    <col min="3" max="3" width="22.42578125" bestFit="1" customWidth="1"/>
  </cols>
  <sheetData>
    <row r="2" spans="1:3">
      <c r="A2" t="s">
        <v>299</v>
      </c>
      <c r="B2" s="2" t="s">
        <v>5</v>
      </c>
      <c r="C2" s="2"/>
    </row>
    <row r="3" spans="1:3">
      <c r="B3" t="s">
        <v>300</v>
      </c>
    </row>
    <row r="4" spans="1:3">
      <c r="B4" t="s">
        <v>301</v>
      </c>
    </row>
    <row r="5" spans="1:3">
      <c r="B5" t="s">
        <v>302</v>
      </c>
    </row>
    <row r="6" spans="1:3">
      <c r="B6" t="s">
        <v>303</v>
      </c>
    </row>
    <row r="7" spans="1:3">
      <c r="A7" t="s">
        <v>304</v>
      </c>
      <c r="B7" t="s">
        <v>305</v>
      </c>
      <c r="C7" t="s">
        <v>305</v>
      </c>
    </row>
    <row r="8" spans="1:3">
      <c r="B8" t="s">
        <v>306</v>
      </c>
      <c r="C8" t="s">
        <v>307</v>
      </c>
    </row>
    <row r="9" spans="1:3">
      <c r="B9" t="s">
        <v>12</v>
      </c>
      <c r="C9" t="s">
        <v>306</v>
      </c>
    </row>
    <row r="11" spans="1:3">
      <c r="A11" t="s">
        <v>308</v>
      </c>
      <c r="B11" t="s">
        <v>309</v>
      </c>
    </row>
    <row r="12" spans="1:3">
      <c r="B12" t="s">
        <v>310</v>
      </c>
    </row>
    <row r="13" spans="1:3">
      <c r="B13" t="s">
        <v>311</v>
      </c>
    </row>
    <row r="14" spans="1:3">
      <c r="B14" t="s">
        <v>312</v>
      </c>
    </row>
    <row r="15" spans="1:3">
      <c r="B15" t="s">
        <v>313</v>
      </c>
    </row>
    <row r="16" spans="1:3">
      <c r="A16" t="s">
        <v>299</v>
      </c>
      <c r="B16" t="s">
        <v>314</v>
      </c>
    </row>
    <row r="17" spans="2:2">
      <c r="B17" t="s">
        <v>315</v>
      </c>
    </row>
    <row r="18" spans="2:2">
      <c r="B18" t="s">
        <v>316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i xmlns="5265b5fd-7eb3-4ce4-84d9-b6fe81ce7530" xsi:nil="true"/>
    <Owner xmlns="5265b5fd-7eb3-4ce4-84d9-b6fe81ce7530">
      <UserInfo>
        <DisplayName>i:0#.f|membership|stefano.scarafiotti@inpeco.com</DisplayName>
        <AccountId>64</AccountId>
        <AccountType/>
      </UserInfo>
      <UserInfo>
        <DisplayName>i:0#.f|membership|marco.bellini@inpeco.com</DisplayName>
        <AccountId>326</AccountId>
        <AccountType/>
      </UserInfo>
      <UserInfo>
        <DisplayName>i:0#.f|membership|andrea.costaglioli@inpeco.com</DisplayName>
        <AccountId>260</AccountId>
        <AccountType/>
      </UserInfo>
      <UserInfo>
        <DisplayName>i:0#.f|membership|paolo.anedda@inpeco.com</DisplayName>
        <AccountId>75</AccountId>
        <AccountType/>
      </UserInfo>
      <UserInfo>
        <DisplayName>i:0#.f|membership|miroslav.koncar@inpeco.com</DisplayName>
        <AccountId>824</AccountId>
        <AccountType/>
      </UserInfo>
    </Owner>
    <Scope xmlns="5265b5fd-7eb3-4ce4-84d9-b6fe81ce7530">The template shall be used by Project Team Members as a guideline to plan, record and monitor the project, describing the tasks, the responsibilities for task, the expected deliverables and records the review</Scope>
    <Approval_x0020_date xmlns="5265b5fd-7eb3-4ce4-84d9-b6fe81ce7530">2026-07-05T22:00:00+00:00</Approval_x0020_date>
    <In_x0020_effect_x0020_on_x0020_date xmlns="5265b5fd-7eb3-4ce4-84d9-b6fe81ce7530">2026-07-05T22:00:00+00:00</In_x0020_effect_x0020_on_x0020_date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emplates" ma:contentTypeID="0x01010900BBED7505B306274DA062462197047D4A" ma:contentTypeVersion="18" ma:contentTypeDescription="Create a new Template." ma:contentTypeScope="" ma:versionID="cdf9468e13f3fe3243c9f900f8f313dc">
  <xsd:schema xmlns:xsd="http://www.w3.org/2001/XMLSchema" xmlns:xs="http://www.w3.org/2001/XMLSchema" xmlns:p="http://schemas.microsoft.com/office/2006/metadata/properties" xmlns:ns2="http://schemas.microsoft.com/sharepoint/v3/fields" xmlns:ns3="5265b5fd-7eb3-4ce4-84d9-b6fe81ce7530" targetNamespace="http://schemas.microsoft.com/office/2006/metadata/properties" ma:root="true" ma:fieldsID="38023608de3b4e4024e5ccb6393b9fdc" ns2:_="" ns3:_="">
    <xsd:import namespace="http://schemas.microsoft.com/sharepoint/v3/fields"/>
    <xsd:import namespace="5265b5fd-7eb3-4ce4-84d9-b6fe81ce7530"/>
    <xsd:element name="properties">
      <xsd:complexType>
        <xsd:sequence>
          <xsd:element name="documentManagement">
            <xsd:complexType>
              <xsd:all>
                <xsd:element ref="ns2:_Version" minOccurs="0"/>
                <xsd:element ref="ns3:Approval_x0020_date" minOccurs="0"/>
                <xsd:element ref="ns3:In_x0020_effect_x0020_on_x0020_date" minOccurs="0"/>
                <xsd:element ref="ns3:Scope" minOccurs="0"/>
                <xsd:element ref="ns3:Owner" minOccurs="0"/>
                <xsd:element ref="ns3:commenti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2" nillable="true" ma:displayName="Version" ma:internalName="_Ver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5b5fd-7eb3-4ce4-84d9-b6fe81ce7530" elementFormDefault="qualified">
    <xsd:import namespace="http://schemas.microsoft.com/office/2006/documentManagement/types"/>
    <xsd:import namespace="http://schemas.microsoft.com/office/infopath/2007/PartnerControls"/>
    <xsd:element name="Approval_x0020_date" ma:index="3" nillable="true" ma:displayName="Approval date" ma:format="DateOnly" ma:internalName="Approval_x0020_date" ma:readOnly="false">
      <xsd:simpleType>
        <xsd:restriction base="dms:DateTime"/>
      </xsd:simpleType>
    </xsd:element>
    <xsd:element name="In_x0020_effect_x0020_on_x0020_date" ma:index="4" nillable="true" ma:displayName="In effect on date" ma:format="DateOnly" ma:internalName="In_x0020_effect_x0020_on_x0020_date" ma:readOnly="false">
      <xsd:simpleType>
        <xsd:restriction base="dms:DateTime"/>
      </xsd:simpleType>
    </xsd:element>
    <xsd:element name="Scope" ma:index="5" nillable="true" ma:displayName="Scope" ma:internalName="Scope">
      <xsd:simpleType>
        <xsd:restriction base="dms:Text">
          <xsd:maxLength value="255"/>
        </xsd:restriction>
      </xsd:simpleType>
    </xsd:element>
    <xsd:element name="Owner" ma:index="6" nillable="true" ma:displayName="Owner" ma:format="Dropdown" ma:list="UserInfo" ma:SharePointGroup="0" ma:internalName="Own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mmenti" ma:index="7" nillable="true" ma:displayName="commenti" ma:internalName="commenti" ma:readOnly="false">
      <xsd:simpleType>
        <xsd:restriction base="dms:Note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8" ma:displayName="Content Type"/>
        <xsd:element ref="dc:title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/>
</file>

<file path=customXml/item4.xml><?xml version="1.0" encoding="utf-8"?>
<?mso-contentType ?>
<customXsn xmlns="http://schemas.microsoft.com/office/2006/metadata/customXsn">
  <xsnLocation/>
  <cached>True</cached>
  <openByDefault>False</openByDefault>
  <xsnScope/>
</customXsn>
</file>

<file path=customXml/itemProps1.xml><?xml version="1.0" encoding="utf-8"?>
<ds:datastoreItem xmlns:ds="http://schemas.openxmlformats.org/officeDocument/2006/customXml" ds:itemID="{E3742D74-C8EC-473D-B0D5-A42C4B8BCA69}">
  <ds:schemaRefs>
    <ds:schemaRef ds:uri="http://purl.org/dc/elements/1.1/"/>
    <ds:schemaRef ds:uri="http://schemas.microsoft.com/office/infopath/2007/PartnerControls"/>
    <ds:schemaRef ds:uri="http://purl.org/dc/dcmitype/"/>
    <ds:schemaRef ds:uri="910e8d0b-46c6-4631-ba36-3ce522acb1be"/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3bc95ace-9106-49ab-bcbd-bfb632191fe8"/>
    <ds:schemaRef ds:uri="http://purl.org/dc/terms/"/>
    <ds:schemaRef ds:uri="5265b5fd-7eb3-4ce4-84d9-b6fe81ce7530"/>
  </ds:schemaRefs>
</ds:datastoreItem>
</file>

<file path=customXml/itemProps2.xml><?xml version="1.0" encoding="utf-8"?>
<ds:datastoreItem xmlns:ds="http://schemas.openxmlformats.org/officeDocument/2006/customXml" ds:itemID="{F3681906-9068-4CC7-9972-B69A4AB8456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/fields"/>
    <ds:schemaRef ds:uri="5265b5fd-7eb3-4ce4-84d9-b6fe81ce75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5CE2472-67FB-4B8D-8F25-9DFB3498F23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F730234-E877-4C0D-A7EB-C0FA36347C15}">
  <ds:schemaRefs>
    <ds:schemaRef ds:uri="http://schemas.microsoft.com/office/2006/metadata/customXs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Task Guideline</vt:lpstr>
      <vt:lpstr>Kick-off Review</vt:lpstr>
      <vt:lpstr>Attachment A - Tickets</vt:lpstr>
      <vt:lpstr>Cover</vt:lpstr>
      <vt:lpstr>Planning Review</vt:lpstr>
      <vt:lpstr>Pre-Serie Launch Review</vt:lpstr>
      <vt:lpstr>Execution Review</vt:lpstr>
      <vt:lpstr>Deployment Review</vt:lpstr>
      <vt:lpstr>Release to Market Review</vt:lpstr>
      <vt:lpstr>Action Items</vt:lpstr>
      <vt:lpstr>Input for Excel</vt:lpstr>
      <vt:lpstr>'Deployment Review'!Print_Area</vt:lpstr>
      <vt:lpstr>'Planning Review'!Print_Area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Phase Review</dc:title>
  <dc:subject/>
  <dc:creator>Elvira Presti</dc:creator>
  <cp:keywords/>
  <dc:description/>
  <cp:lastModifiedBy>Luca Contini</cp:lastModifiedBy>
  <cp:revision/>
  <cp:lastPrinted>2026-06-29T06:40:27Z</cp:lastPrinted>
  <dcterms:created xsi:type="dcterms:W3CDTF">2015-06-05T18:17:20Z</dcterms:created>
  <dcterms:modified xsi:type="dcterms:W3CDTF">2026-10-23T16:19:25Z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0x01010900BBED7505B306274DA062462197047D4A</vt:lpwstr>
  </property>
  <property fmtid="{D5CDD505-2E9C-101B-9397-08002B2CF9AE}" pid="3" name="Distribution list">
    <vt:lpwstr/>
  </property>
  <property fmtid="{D5CDD505-2E9C-101B-9397-08002B2CF9AE}" pid="4" name="Training List">
    <vt:lpwstr/>
  </property>
  <property fmtid="{D5CDD505-2E9C-101B-9397-08002B2CF9AE}" pid="5" name="Istruzione di">
    <vt:lpwstr>;#Montaggio meccanico;#</vt:lpwstr>
  </property>
  <property fmtid="{D5CDD505-2E9C-101B-9397-08002B2CF9AE}" pid="6" name="MediaServiceImageTags">
    <vt:lpwstr/>
  </property>
</Properties>
</file>